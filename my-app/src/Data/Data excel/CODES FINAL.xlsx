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kbgroup-my.sharepoint.com/personal/alkb-group_alkbgroup_onmicrosoft_com/Documents/New volume (E)/Sama Qamra/خصميات المقاولين/MATERIAL CODING/"/>
    </mc:Choice>
  </mc:AlternateContent>
  <xr:revisionPtr revIDLastSave="1212" documentId="8_{A69CCC18-DE87-4297-9D96-B5ED5DB15A4B}" xr6:coauthVersionLast="47" xr6:coauthVersionMax="47" xr10:uidLastSave="{8A86A8ED-EFF7-4746-96EB-081F18E2ACD1}"/>
  <bookViews>
    <workbookView xWindow="38280" yWindow="-120" windowWidth="29040" windowHeight="15720" activeTab="2" xr2:uid="{3C0EFD94-5E63-45C2-AB79-ECF0A0D7A80F}"/>
  </bookViews>
  <sheets>
    <sheet name="Codes" sheetId="7" r:id="rId1"/>
    <sheet name="DIV AND CAT LIST" sheetId="8" r:id="rId2"/>
    <sheet name="SUB-C MAT Deductions" sheetId="9" r:id="rId3"/>
  </sheets>
  <externalReferences>
    <externalReference r:id="rId4"/>
  </externalReferences>
  <definedNames>
    <definedName name="_xlnm._FilterDatabase" localSheetId="0" hidden="1">Codes!$A$1:$K$402</definedName>
    <definedName name="_xlnm._FilterDatabase" localSheetId="2" hidden="1">'SUB-C MAT Deductions'!$A$2:$ZY$516</definedName>
    <definedName name="_xlnm.Print_Area" localSheetId="0">Codes!$A$1:$L$505</definedName>
    <definedName name="_xlnm.Print_Titles" localSheetId="0">Codes!$1:$1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2" i="9" l="1"/>
  <c r="R131" i="9"/>
  <c r="R130" i="9"/>
  <c r="R129" i="9"/>
  <c r="R128" i="9"/>
  <c r="I132" i="9"/>
  <c r="I131" i="9"/>
  <c r="I130" i="9"/>
  <c r="I129" i="9"/>
  <c r="I128" i="9"/>
  <c r="I145" i="9" l="1"/>
  <c r="I146" i="9"/>
  <c r="I147" i="9"/>
  <c r="I148" i="9"/>
  <c r="I149" i="9"/>
  <c r="I150" i="9"/>
  <c r="I151" i="9"/>
  <c r="I152" i="9"/>
  <c r="I153" i="9"/>
  <c r="I154" i="9"/>
  <c r="I144" i="9"/>
  <c r="I389" i="9"/>
  <c r="I390" i="9"/>
  <c r="I391" i="9"/>
  <c r="I392" i="9"/>
  <c r="I393" i="9"/>
  <c r="I394" i="9"/>
  <c r="I396" i="9"/>
  <c r="I397" i="9"/>
  <c r="I398" i="9"/>
  <c r="I399" i="9"/>
  <c r="I400" i="9"/>
  <c r="I401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R293" i="9"/>
  <c r="S293" i="9"/>
  <c r="R294" i="9"/>
  <c r="S294" i="9"/>
  <c r="R295" i="9"/>
  <c r="S295" i="9"/>
  <c r="R296" i="9"/>
  <c r="S296" i="9"/>
  <c r="R297" i="9"/>
  <c r="S297" i="9"/>
  <c r="R298" i="9"/>
  <c r="S298" i="9"/>
  <c r="R299" i="9"/>
  <c r="S299" i="9"/>
  <c r="R300" i="9"/>
  <c r="S300" i="9"/>
  <c r="R301" i="9"/>
  <c r="S301" i="9"/>
  <c r="R302" i="9"/>
  <c r="S302" i="9"/>
  <c r="R303" i="9"/>
  <c r="S303" i="9"/>
  <c r="R304" i="9"/>
  <c r="S304" i="9"/>
  <c r="R305" i="9"/>
  <c r="S305" i="9"/>
  <c r="R306" i="9"/>
  <c r="S306" i="9"/>
  <c r="R307" i="9"/>
  <c r="S307" i="9"/>
  <c r="R308" i="9"/>
  <c r="S308" i="9"/>
  <c r="R309" i="9"/>
  <c r="S309" i="9"/>
  <c r="R310" i="9"/>
  <c r="S310" i="9"/>
  <c r="R311" i="9"/>
  <c r="S311" i="9"/>
  <c r="R312" i="9"/>
  <c r="S312" i="9"/>
  <c r="R313" i="9"/>
  <c r="S313" i="9"/>
  <c r="R314" i="9"/>
  <c r="S314" i="9"/>
  <c r="R315" i="9"/>
  <c r="S315" i="9"/>
  <c r="R316" i="9"/>
  <c r="S316" i="9"/>
  <c r="R317" i="9"/>
  <c r="S317" i="9"/>
  <c r="R318" i="9"/>
  <c r="S318" i="9"/>
  <c r="R319" i="9"/>
  <c r="S319" i="9"/>
  <c r="R320" i="9"/>
  <c r="S320" i="9"/>
  <c r="R321" i="9"/>
  <c r="S321" i="9"/>
  <c r="R322" i="9"/>
  <c r="S322" i="9"/>
  <c r="R323" i="9"/>
  <c r="S323" i="9"/>
  <c r="R324" i="9"/>
  <c r="S324" i="9"/>
  <c r="R325" i="9"/>
  <c r="S325" i="9"/>
  <c r="R326" i="9"/>
  <c r="S326" i="9"/>
  <c r="R327" i="9"/>
  <c r="S327" i="9"/>
  <c r="R328" i="9"/>
  <c r="S328" i="9"/>
  <c r="R329" i="9"/>
  <c r="S329" i="9"/>
  <c r="R330" i="9"/>
  <c r="S330" i="9"/>
  <c r="R331" i="9"/>
  <c r="S331" i="9"/>
  <c r="R332" i="9"/>
  <c r="S332" i="9"/>
  <c r="Q333" i="9"/>
  <c r="R333" i="9"/>
  <c r="S333" i="9"/>
  <c r="R334" i="9"/>
  <c r="S334" i="9"/>
  <c r="R335" i="9"/>
  <c r="S335" i="9"/>
  <c r="R336" i="9"/>
  <c r="S336" i="9"/>
  <c r="Q337" i="9"/>
  <c r="R337" i="9"/>
  <c r="S337" i="9"/>
  <c r="R338" i="9"/>
  <c r="S338" i="9"/>
  <c r="R339" i="9"/>
  <c r="S339" i="9"/>
  <c r="R341" i="9"/>
  <c r="S341" i="9"/>
  <c r="R342" i="9"/>
  <c r="S342" i="9"/>
  <c r="R343" i="9"/>
  <c r="S343" i="9"/>
  <c r="R344" i="9"/>
  <c r="S344" i="9"/>
  <c r="R345" i="9"/>
  <c r="S345" i="9"/>
  <c r="R346" i="9"/>
  <c r="S346" i="9"/>
  <c r="R347" i="9"/>
  <c r="S347" i="9"/>
  <c r="R348" i="9"/>
  <c r="S348" i="9"/>
  <c r="R349" i="9"/>
  <c r="S349" i="9"/>
  <c r="R350" i="9"/>
  <c r="S350" i="9"/>
  <c r="R351" i="9"/>
  <c r="S351" i="9"/>
  <c r="R352" i="9"/>
  <c r="S352" i="9"/>
  <c r="R353" i="9"/>
  <c r="S353" i="9"/>
  <c r="R354" i="9"/>
  <c r="S354" i="9"/>
  <c r="R355" i="9"/>
  <c r="S355" i="9"/>
  <c r="R356" i="9"/>
  <c r="S356" i="9"/>
  <c r="R357" i="9"/>
  <c r="S357" i="9"/>
  <c r="R358" i="9"/>
  <c r="S358" i="9"/>
  <c r="R359" i="9"/>
  <c r="S359" i="9"/>
  <c r="R360" i="9"/>
  <c r="S360" i="9"/>
  <c r="R361" i="9"/>
  <c r="S361" i="9"/>
  <c r="R362" i="9"/>
  <c r="S362" i="9"/>
  <c r="R363" i="9"/>
  <c r="S363" i="9"/>
  <c r="R364" i="9"/>
  <c r="S364" i="9"/>
  <c r="R365" i="9"/>
  <c r="S365" i="9"/>
  <c r="R366" i="9"/>
  <c r="S366" i="9"/>
  <c r="R367" i="9"/>
  <c r="S367" i="9"/>
  <c r="R368" i="9"/>
  <c r="S368" i="9"/>
  <c r="R369" i="9"/>
  <c r="S369" i="9"/>
  <c r="R370" i="9"/>
  <c r="S370" i="9"/>
  <c r="R371" i="9"/>
  <c r="S371" i="9"/>
  <c r="R372" i="9"/>
  <c r="S372" i="9"/>
  <c r="R373" i="9"/>
  <c r="S373" i="9"/>
  <c r="R374" i="9"/>
  <c r="S374" i="9"/>
  <c r="R375" i="9"/>
  <c r="S375" i="9"/>
  <c r="R376" i="9"/>
  <c r="S376" i="9"/>
  <c r="R377" i="9"/>
  <c r="S377" i="9"/>
  <c r="R378" i="9"/>
  <c r="S378" i="9"/>
  <c r="R379" i="9"/>
  <c r="S379" i="9"/>
  <c r="Q380" i="9"/>
  <c r="R380" i="9"/>
  <c r="S380" i="9"/>
  <c r="R381" i="9"/>
  <c r="S381" i="9"/>
  <c r="R382" i="9"/>
  <c r="S382" i="9"/>
  <c r="R383" i="9"/>
  <c r="S383" i="9"/>
  <c r="R384" i="9"/>
  <c r="S384" i="9"/>
  <c r="R385" i="9"/>
  <c r="S385" i="9"/>
  <c r="R386" i="9"/>
  <c r="S386" i="9"/>
  <c r="R387" i="9"/>
  <c r="S387" i="9"/>
  <c r="R388" i="9"/>
  <c r="S388" i="9"/>
  <c r="R389" i="9"/>
  <c r="S389" i="9"/>
  <c r="R390" i="9"/>
  <c r="S390" i="9"/>
  <c r="R391" i="9"/>
  <c r="S391" i="9"/>
  <c r="R392" i="9"/>
  <c r="S392" i="9"/>
  <c r="R393" i="9"/>
  <c r="S393" i="9"/>
  <c r="R394" i="9"/>
  <c r="S394" i="9"/>
  <c r="R395" i="9"/>
  <c r="S395" i="9"/>
  <c r="R396" i="9"/>
  <c r="S396" i="9"/>
  <c r="R397" i="9"/>
  <c r="S397" i="9"/>
  <c r="R398" i="9"/>
  <c r="S398" i="9"/>
  <c r="R399" i="9"/>
  <c r="S399" i="9"/>
  <c r="R400" i="9"/>
  <c r="S400" i="9"/>
  <c r="R401" i="9"/>
  <c r="S401" i="9"/>
  <c r="R403" i="9"/>
  <c r="S403" i="9"/>
  <c r="R404" i="9"/>
  <c r="S404" i="9"/>
  <c r="R405" i="9"/>
  <c r="S405" i="9"/>
  <c r="R406" i="9"/>
  <c r="S406" i="9"/>
  <c r="R407" i="9"/>
  <c r="S407" i="9"/>
  <c r="R408" i="9"/>
  <c r="S408" i="9"/>
  <c r="R409" i="9"/>
  <c r="S409" i="9"/>
  <c r="R410" i="9"/>
  <c r="S410" i="9"/>
  <c r="R411" i="9"/>
  <c r="S411" i="9"/>
  <c r="R412" i="9"/>
  <c r="S412" i="9"/>
  <c r="R413" i="9"/>
  <c r="S413" i="9"/>
  <c r="R414" i="9"/>
  <c r="S414" i="9"/>
  <c r="R415" i="9"/>
  <c r="S415" i="9"/>
  <c r="R416" i="9"/>
  <c r="S416" i="9"/>
  <c r="R417" i="9"/>
  <c r="S417" i="9"/>
  <c r="I331" i="9"/>
  <c r="I332" i="9"/>
  <c r="I334" i="9"/>
  <c r="I335" i="9"/>
  <c r="I336" i="9"/>
  <c r="I338" i="9"/>
  <c r="I339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1" i="9"/>
  <c r="I382" i="9"/>
  <c r="I383" i="9"/>
  <c r="I384" i="9"/>
  <c r="I385" i="9"/>
  <c r="I386" i="9"/>
  <c r="I387" i="9"/>
  <c r="I388" i="9"/>
  <c r="I330" i="9"/>
  <c r="R4" i="9"/>
  <c r="S4" i="9"/>
  <c r="R5" i="9"/>
  <c r="S5" i="9"/>
  <c r="R6" i="9"/>
  <c r="S6" i="9"/>
  <c r="R7" i="9"/>
  <c r="S7" i="9"/>
  <c r="R8" i="9"/>
  <c r="S8" i="9"/>
  <c r="R9" i="9"/>
  <c r="S9" i="9"/>
  <c r="R10" i="9"/>
  <c r="S10" i="9"/>
  <c r="R11" i="9"/>
  <c r="S11" i="9"/>
  <c r="R12" i="9"/>
  <c r="S12" i="9"/>
  <c r="R13" i="9"/>
  <c r="S13" i="9"/>
  <c r="R14" i="9"/>
  <c r="S14" i="9"/>
  <c r="R15" i="9"/>
  <c r="S15" i="9"/>
  <c r="R16" i="9"/>
  <c r="S16" i="9"/>
  <c r="R17" i="9"/>
  <c r="S17" i="9"/>
  <c r="R18" i="9"/>
  <c r="S18" i="9"/>
  <c r="R19" i="9"/>
  <c r="S19" i="9"/>
  <c r="R20" i="9"/>
  <c r="S20" i="9"/>
  <c r="R21" i="9"/>
  <c r="S21" i="9"/>
  <c r="R22" i="9"/>
  <c r="S22" i="9"/>
  <c r="R23" i="9"/>
  <c r="S23" i="9"/>
  <c r="R24" i="9"/>
  <c r="S24" i="9"/>
  <c r="R25" i="9"/>
  <c r="S25" i="9"/>
  <c r="R26" i="9"/>
  <c r="S26" i="9"/>
  <c r="R27" i="9"/>
  <c r="S27" i="9"/>
  <c r="R28" i="9"/>
  <c r="S28" i="9"/>
  <c r="R29" i="9"/>
  <c r="S29" i="9"/>
  <c r="R30" i="9"/>
  <c r="S30" i="9"/>
  <c r="R31" i="9"/>
  <c r="S31" i="9"/>
  <c r="R32" i="9"/>
  <c r="S32" i="9"/>
  <c r="R33" i="9"/>
  <c r="S33" i="9"/>
  <c r="R34" i="9"/>
  <c r="S34" i="9"/>
  <c r="R35" i="9"/>
  <c r="S35" i="9"/>
  <c r="R36" i="9"/>
  <c r="S36" i="9"/>
  <c r="R37" i="9"/>
  <c r="S37" i="9"/>
  <c r="R38" i="9"/>
  <c r="S38" i="9"/>
  <c r="R39" i="9"/>
  <c r="S39" i="9"/>
  <c r="R40" i="9"/>
  <c r="S40" i="9"/>
  <c r="R41" i="9"/>
  <c r="S41" i="9"/>
  <c r="R42" i="9"/>
  <c r="S42" i="9"/>
  <c r="R43" i="9"/>
  <c r="S43" i="9"/>
  <c r="R44" i="9"/>
  <c r="S44" i="9"/>
  <c r="R45" i="9"/>
  <c r="S45" i="9"/>
  <c r="R46" i="9"/>
  <c r="S46" i="9"/>
  <c r="R47" i="9"/>
  <c r="S47" i="9"/>
  <c r="R48" i="9"/>
  <c r="S48" i="9"/>
  <c r="R49" i="9"/>
  <c r="S49" i="9"/>
  <c r="R50" i="9"/>
  <c r="S50" i="9"/>
  <c r="R51" i="9"/>
  <c r="S51" i="9"/>
  <c r="R52" i="9"/>
  <c r="S52" i="9"/>
  <c r="R53" i="9"/>
  <c r="S53" i="9"/>
  <c r="R54" i="9"/>
  <c r="S54" i="9"/>
  <c r="R55" i="9"/>
  <c r="S55" i="9"/>
  <c r="R56" i="9"/>
  <c r="S56" i="9"/>
  <c r="R57" i="9"/>
  <c r="S57" i="9"/>
  <c r="R58" i="9"/>
  <c r="S58" i="9"/>
  <c r="R59" i="9"/>
  <c r="S59" i="9"/>
  <c r="R60" i="9"/>
  <c r="S60" i="9"/>
  <c r="R61" i="9"/>
  <c r="S61" i="9"/>
  <c r="R62" i="9"/>
  <c r="S62" i="9"/>
  <c r="R63" i="9"/>
  <c r="S63" i="9"/>
  <c r="R64" i="9"/>
  <c r="S64" i="9"/>
  <c r="R65" i="9"/>
  <c r="S65" i="9"/>
  <c r="R66" i="9"/>
  <c r="S66" i="9"/>
  <c r="R67" i="9"/>
  <c r="S67" i="9"/>
  <c r="R68" i="9"/>
  <c r="S68" i="9"/>
  <c r="R69" i="9"/>
  <c r="S69" i="9"/>
  <c r="R70" i="9"/>
  <c r="S70" i="9"/>
  <c r="R71" i="9"/>
  <c r="S71" i="9"/>
  <c r="R72" i="9"/>
  <c r="S72" i="9"/>
  <c r="R73" i="9"/>
  <c r="S73" i="9"/>
  <c r="R74" i="9"/>
  <c r="S74" i="9"/>
  <c r="R75" i="9"/>
  <c r="S75" i="9"/>
  <c r="R76" i="9"/>
  <c r="S76" i="9"/>
  <c r="R77" i="9"/>
  <c r="S77" i="9"/>
  <c r="R78" i="9"/>
  <c r="S78" i="9"/>
  <c r="R79" i="9"/>
  <c r="S79" i="9"/>
  <c r="R80" i="9"/>
  <c r="S80" i="9"/>
  <c r="R81" i="9"/>
  <c r="S81" i="9"/>
  <c r="R82" i="9"/>
  <c r="S82" i="9"/>
  <c r="R83" i="9"/>
  <c r="S83" i="9"/>
  <c r="R84" i="9"/>
  <c r="S84" i="9"/>
  <c r="R85" i="9"/>
  <c r="S85" i="9"/>
  <c r="R86" i="9"/>
  <c r="S86" i="9"/>
  <c r="R87" i="9"/>
  <c r="S87" i="9"/>
  <c r="R88" i="9"/>
  <c r="S88" i="9"/>
  <c r="R89" i="9"/>
  <c r="S89" i="9"/>
  <c r="R90" i="9"/>
  <c r="S90" i="9"/>
  <c r="R91" i="9"/>
  <c r="S91" i="9"/>
  <c r="R92" i="9"/>
  <c r="S92" i="9"/>
  <c r="R93" i="9"/>
  <c r="S93" i="9"/>
  <c r="R94" i="9"/>
  <c r="S94" i="9"/>
  <c r="R95" i="9"/>
  <c r="S95" i="9"/>
  <c r="R96" i="9"/>
  <c r="S96" i="9"/>
  <c r="R97" i="9"/>
  <c r="S97" i="9"/>
  <c r="R98" i="9"/>
  <c r="S98" i="9"/>
  <c r="R99" i="9"/>
  <c r="S99" i="9"/>
  <c r="R100" i="9"/>
  <c r="S100" i="9"/>
  <c r="R101" i="9"/>
  <c r="S101" i="9"/>
  <c r="R102" i="9"/>
  <c r="S102" i="9"/>
  <c r="R103" i="9"/>
  <c r="S103" i="9"/>
  <c r="R104" i="9"/>
  <c r="S104" i="9"/>
  <c r="R105" i="9"/>
  <c r="S105" i="9"/>
  <c r="R106" i="9"/>
  <c r="S106" i="9"/>
  <c r="R107" i="9"/>
  <c r="S107" i="9"/>
  <c r="R108" i="9"/>
  <c r="S108" i="9"/>
  <c r="R109" i="9"/>
  <c r="S109" i="9"/>
  <c r="R110" i="9"/>
  <c r="S110" i="9"/>
  <c r="R111" i="9"/>
  <c r="S111" i="9"/>
  <c r="R112" i="9"/>
  <c r="S112" i="9"/>
  <c r="R113" i="9"/>
  <c r="S113" i="9"/>
  <c r="R114" i="9"/>
  <c r="S114" i="9"/>
  <c r="R115" i="9"/>
  <c r="S115" i="9"/>
  <c r="R116" i="9"/>
  <c r="S116" i="9"/>
  <c r="R117" i="9"/>
  <c r="S117" i="9"/>
  <c r="R118" i="9"/>
  <c r="S118" i="9"/>
  <c r="R119" i="9"/>
  <c r="S119" i="9"/>
  <c r="R120" i="9"/>
  <c r="S120" i="9"/>
  <c r="R121" i="9"/>
  <c r="S121" i="9"/>
  <c r="R122" i="9"/>
  <c r="S122" i="9"/>
  <c r="R123" i="9"/>
  <c r="S123" i="9"/>
  <c r="R124" i="9"/>
  <c r="S124" i="9"/>
  <c r="R125" i="9"/>
  <c r="S125" i="9"/>
  <c r="R126" i="9"/>
  <c r="S126" i="9"/>
  <c r="R127" i="9"/>
  <c r="S127" i="9"/>
  <c r="R133" i="9"/>
  <c r="S133" i="9"/>
  <c r="R134" i="9"/>
  <c r="S134" i="9"/>
  <c r="R135" i="9"/>
  <c r="S135" i="9"/>
  <c r="R136" i="9"/>
  <c r="S136" i="9"/>
  <c r="R137" i="9"/>
  <c r="S137" i="9"/>
  <c r="R138" i="9"/>
  <c r="S138" i="9"/>
  <c r="R139" i="9"/>
  <c r="S139" i="9"/>
  <c r="R140" i="9"/>
  <c r="S140" i="9"/>
  <c r="R141" i="9"/>
  <c r="S141" i="9"/>
  <c r="R142" i="9"/>
  <c r="S142" i="9"/>
  <c r="R143" i="9"/>
  <c r="S143" i="9"/>
  <c r="R155" i="9"/>
  <c r="S155" i="9"/>
  <c r="R156" i="9"/>
  <c r="S156" i="9"/>
  <c r="R157" i="9"/>
  <c r="S157" i="9"/>
  <c r="R158" i="9"/>
  <c r="S158" i="9"/>
  <c r="R159" i="9"/>
  <c r="S159" i="9"/>
  <c r="R160" i="9"/>
  <c r="S160" i="9"/>
  <c r="R161" i="9"/>
  <c r="S161" i="9"/>
  <c r="R162" i="9"/>
  <c r="S162" i="9"/>
  <c r="R163" i="9"/>
  <c r="S163" i="9"/>
  <c r="R164" i="9"/>
  <c r="S164" i="9"/>
  <c r="R165" i="9"/>
  <c r="S165" i="9"/>
  <c r="R166" i="9"/>
  <c r="S166" i="9"/>
  <c r="R167" i="9"/>
  <c r="S167" i="9"/>
  <c r="R168" i="9"/>
  <c r="S168" i="9"/>
  <c r="R169" i="9"/>
  <c r="S169" i="9"/>
  <c r="R170" i="9"/>
  <c r="S170" i="9"/>
  <c r="R171" i="9"/>
  <c r="S171" i="9"/>
  <c r="R172" i="9"/>
  <c r="S172" i="9"/>
  <c r="R173" i="9"/>
  <c r="S173" i="9"/>
  <c r="R174" i="9"/>
  <c r="S174" i="9"/>
  <c r="R175" i="9"/>
  <c r="S175" i="9"/>
  <c r="R176" i="9"/>
  <c r="S176" i="9"/>
  <c r="R177" i="9"/>
  <c r="S177" i="9"/>
  <c r="R178" i="9"/>
  <c r="S178" i="9"/>
  <c r="R179" i="9"/>
  <c r="S179" i="9"/>
  <c r="R180" i="9"/>
  <c r="S180" i="9"/>
  <c r="R181" i="9"/>
  <c r="S181" i="9"/>
  <c r="R182" i="9"/>
  <c r="S182" i="9"/>
  <c r="R183" i="9"/>
  <c r="S183" i="9"/>
  <c r="R184" i="9"/>
  <c r="S184" i="9"/>
  <c r="R185" i="9"/>
  <c r="S185" i="9"/>
  <c r="R186" i="9"/>
  <c r="S186" i="9"/>
  <c r="R187" i="9"/>
  <c r="S187" i="9"/>
  <c r="R188" i="9"/>
  <c r="S188" i="9"/>
  <c r="R189" i="9"/>
  <c r="S189" i="9"/>
  <c r="R190" i="9"/>
  <c r="S190" i="9"/>
  <c r="R191" i="9"/>
  <c r="S191" i="9"/>
  <c r="R192" i="9"/>
  <c r="S192" i="9"/>
  <c r="R193" i="9"/>
  <c r="S193" i="9"/>
  <c r="R194" i="9"/>
  <c r="S194" i="9"/>
  <c r="R195" i="9"/>
  <c r="S195" i="9"/>
  <c r="R196" i="9"/>
  <c r="S196" i="9"/>
  <c r="R197" i="9"/>
  <c r="S197" i="9"/>
  <c r="R198" i="9"/>
  <c r="S198" i="9"/>
  <c r="R199" i="9"/>
  <c r="S199" i="9"/>
  <c r="R200" i="9"/>
  <c r="S200" i="9"/>
  <c r="R201" i="9"/>
  <c r="S201" i="9"/>
  <c r="R202" i="9"/>
  <c r="S202" i="9"/>
  <c r="R203" i="9"/>
  <c r="S203" i="9"/>
  <c r="R204" i="9"/>
  <c r="S204" i="9"/>
  <c r="R205" i="9"/>
  <c r="S205" i="9"/>
  <c r="R206" i="9"/>
  <c r="S206" i="9"/>
  <c r="R207" i="9"/>
  <c r="S207" i="9"/>
  <c r="R208" i="9"/>
  <c r="S208" i="9"/>
  <c r="R209" i="9"/>
  <c r="S209" i="9"/>
  <c r="R210" i="9"/>
  <c r="S210" i="9"/>
  <c r="R211" i="9"/>
  <c r="S211" i="9"/>
  <c r="R212" i="9"/>
  <c r="S212" i="9"/>
  <c r="R213" i="9"/>
  <c r="S213" i="9"/>
  <c r="R214" i="9"/>
  <c r="S214" i="9"/>
  <c r="R215" i="9"/>
  <c r="S215" i="9"/>
  <c r="R216" i="9"/>
  <c r="S216" i="9"/>
  <c r="R217" i="9"/>
  <c r="S217" i="9"/>
  <c r="R218" i="9"/>
  <c r="S218" i="9"/>
  <c r="R219" i="9"/>
  <c r="S219" i="9"/>
  <c r="R220" i="9"/>
  <c r="S220" i="9"/>
  <c r="R221" i="9"/>
  <c r="S221" i="9"/>
  <c r="R222" i="9"/>
  <c r="S222" i="9"/>
  <c r="R223" i="9"/>
  <c r="S223" i="9"/>
  <c r="R224" i="9"/>
  <c r="S224" i="9"/>
  <c r="R225" i="9"/>
  <c r="S225" i="9"/>
  <c r="R226" i="9"/>
  <c r="S226" i="9"/>
  <c r="R227" i="9"/>
  <c r="S227" i="9"/>
  <c r="R228" i="9"/>
  <c r="S228" i="9"/>
  <c r="R229" i="9"/>
  <c r="S229" i="9"/>
  <c r="R230" i="9"/>
  <c r="S230" i="9"/>
  <c r="R231" i="9"/>
  <c r="S231" i="9"/>
  <c r="R232" i="9"/>
  <c r="S232" i="9"/>
  <c r="R233" i="9"/>
  <c r="S233" i="9"/>
  <c r="R234" i="9"/>
  <c r="S234" i="9"/>
  <c r="R235" i="9"/>
  <c r="S235" i="9"/>
  <c r="R236" i="9"/>
  <c r="S236" i="9"/>
  <c r="R237" i="9"/>
  <c r="S237" i="9"/>
  <c r="R238" i="9"/>
  <c r="S238" i="9"/>
  <c r="R239" i="9"/>
  <c r="S239" i="9"/>
  <c r="R240" i="9"/>
  <c r="S240" i="9"/>
  <c r="R241" i="9"/>
  <c r="S241" i="9"/>
  <c r="R242" i="9"/>
  <c r="S242" i="9"/>
  <c r="R243" i="9"/>
  <c r="S243" i="9"/>
  <c r="R244" i="9"/>
  <c r="S244" i="9"/>
  <c r="R245" i="9"/>
  <c r="S245" i="9"/>
  <c r="R246" i="9"/>
  <c r="S246" i="9"/>
  <c r="R247" i="9"/>
  <c r="S247" i="9"/>
  <c r="R248" i="9"/>
  <c r="S248" i="9"/>
  <c r="R249" i="9"/>
  <c r="S249" i="9"/>
  <c r="Q250" i="9"/>
  <c r="R250" i="9"/>
  <c r="S250" i="9"/>
  <c r="R251" i="9"/>
  <c r="S251" i="9"/>
  <c r="Q252" i="9"/>
  <c r="R252" i="9"/>
  <c r="S252" i="9"/>
  <c r="Q253" i="9"/>
  <c r="R253" i="9"/>
  <c r="S253" i="9"/>
  <c r="R254" i="9"/>
  <c r="S254" i="9"/>
  <c r="R255" i="9"/>
  <c r="S255" i="9"/>
  <c r="Q256" i="9"/>
  <c r="R256" i="9"/>
  <c r="S256" i="9"/>
  <c r="R257" i="9"/>
  <c r="S257" i="9"/>
  <c r="R258" i="9"/>
  <c r="S258" i="9"/>
  <c r="R259" i="9"/>
  <c r="S259" i="9"/>
  <c r="R260" i="9"/>
  <c r="S260" i="9"/>
  <c r="R261" i="9"/>
  <c r="S261" i="9"/>
  <c r="R262" i="9"/>
  <c r="S262" i="9"/>
  <c r="R263" i="9"/>
  <c r="S263" i="9"/>
  <c r="R264" i="9"/>
  <c r="S264" i="9"/>
  <c r="R265" i="9"/>
  <c r="S265" i="9"/>
  <c r="R266" i="9"/>
  <c r="S266" i="9"/>
  <c r="R267" i="9"/>
  <c r="S267" i="9"/>
  <c r="R268" i="9"/>
  <c r="S268" i="9"/>
  <c r="Q269" i="9"/>
  <c r="R269" i="9"/>
  <c r="S269" i="9"/>
  <c r="Q270" i="9"/>
  <c r="R270" i="9"/>
  <c r="S270" i="9"/>
  <c r="Q271" i="9"/>
  <c r="R271" i="9"/>
  <c r="S271" i="9"/>
  <c r="R272" i="9"/>
  <c r="S272" i="9"/>
  <c r="Q273" i="9"/>
  <c r="R273" i="9"/>
  <c r="S273" i="9"/>
  <c r="R274" i="9"/>
  <c r="S274" i="9"/>
  <c r="Q275" i="9"/>
  <c r="R275" i="9"/>
  <c r="S275" i="9"/>
  <c r="R276" i="9"/>
  <c r="S276" i="9"/>
  <c r="R277" i="9"/>
  <c r="S277" i="9"/>
  <c r="R278" i="9"/>
  <c r="S278" i="9"/>
  <c r="R279" i="9"/>
  <c r="S279" i="9"/>
  <c r="R280" i="9"/>
  <c r="S280" i="9"/>
  <c r="R281" i="9"/>
  <c r="S281" i="9"/>
  <c r="R282" i="9"/>
  <c r="S282" i="9"/>
  <c r="R283" i="9"/>
  <c r="S283" i="9"/>
  <c r="R284" i="9"/>
  <c r="S284" i="9"/>
  <c r="R285" i="9"/>
  <c r="S285" i="9"/>
  <c r="R286" i="9"/>
  <c r="S286" i="9"/>
  <c r="R287" i="9"/>
  <c r="S287" i="9"/>
  <c r="R288" i="9"/>
  <c r="S288" i="9"/>
  <c r="R289" i="9"/>
  <c r="S289" i="9"/>
  <c r="R290" i="9"/>
  <c r="S290" i="9"/>
  <c r="R291" i="9"/>
  <c r="S291" i="9"/>
  <c r="R292" i="9"/>
  <c r="S292" i="9"/>
  <c r="R419" i="9"/>
  <c r="S419" i="9"/>
  <c r="R420" i="9"/>
  <c r="S420" i="9"/>
  <c r="R421" i="9"/>
  <c r="S421" i="9"/>
  <c r="R422" i="9"/>
  <c r="S422" i="9"/>
  <c r="R423" i="9"/>
  <c r="S423" i="9"/>
  <c r="R424" i="9"/>
  <c r="S424" i="9"/>
  <c r="R425" i="9"/>
  <c r="S425" i="9"/>
  <c r="R426" i="9"/>
  <c r="S426" i="9"/>
  <c r="R427" i="9"/>
  <c r="S427" i="9"/>
  <c r="R428" i="9"/>
  <c r="S428" i="9"/>
  <c r="R429" i="9"/>
  <c r="S429" i="9"/>
  <c r="R430" i="9"/>
  <c r="S430" i="9"/>
  <c r="R431" i="9"/>
  <c r="S431" i="9"/>
  <c r="R432" i="9"/>
  <c r="S432" i="9"/>
  <c r="R433" i="9"/>
  <c r="S433" i="9"/>
  <c r="R434" i="9"/>
  <c r="S434" i="9"/>
  <c r="R435" i="9"/>
  <c r="S435" i="9"/>
  <c r="R436" i="9"/>
  <c r="S436" i="9"/>
  <c r="R437" i="9"/>
  <c r="S437" i="9"/>
  <c r="R438" i="9"/>
  <c r="S438" i="9"/>
  <c r="R439" i="9"/>
  <c r="S439" i="9"/>
  <c r="R440" i="9"/>
  <c r="S440" i="9"/>
  <c r="R441" i="9"/>
  <c r="S441" i="9"/>
  <c r="R442" i="9"/>
  <c r="S442" i="9"/>
  <c r="R443" i="9"/>
  <c r="S443" i="9"/>
  <c r="R444" i="9"/>
  <c r="S444" i="9"/>
  <c r="R445" i="9"/>
  <c r="S445" i="9"/>
  <c r="R446" i="9"/>
  <c r="S446" i="9"/>
  <c r="R447" i="9"/>
  <c r="S447" i="9"/>
  <c r="R448" i="9"/>
  <c r="S448" i="9"/>
  <c r="R449" i="9"/>
  <c r="S449" i="9"/>
  <c r="R450" i="9"/>
  <c r="S450" i="9"/>
  <c r="R451" i="9"/>
  <c r="S451" i="9"/>
  <c r="R452" i="9"/>
  <c r="S452" i="9"/>
  <c r="R453" i="9"/>
  <c r="S453" i="9"/>
  <c r="R454" i="9"/>
  <c r="S454" i="9"/>
  <c r="R455" i="9"/>
  <c r="S455" i="9"/>
  <c r="R456" i="9"/>
  <c r="S456" i="9"/>
  <c r="R457" i="9"/>
  <c r="S457" i="9"/>
  <c r="R458" i="9"/>
  <c r="S458" i="9"/>
  <c r="R459" i="9"/>
  <c r="S459" i="9"/>
  <c r="R460" i="9"/>
  <c r="S460" i="9"/>
  <c r="R461" i="9"/>
  <c r="S461" i="9"/>
  <c r="R462" i="9"/>
  <c r="S462" i="9"/>
  <c r="R463" i="9"/>
  <c r="S463" i="9"/>
  <c r="R464" i="9"/>
  <c r="S464" i="9"/>
  <c r="R465" i="9"/>
  <c r="S465" i="9"/>
  <c r="R466" i="9"/>
  <c r="S466" i="9"/>
  <c r="R467" i="9"/>
  <c r="S467" i="9"/>
  <c r="R468" i="9"/>
  <c r="S468" i="9"/>
  <c r="R469" i="9"/>
  <c r="S469" i="9"/>
  <c r="R470" i="9"/>
  <c r="S470" i="9"/>
  <c r="R471" i="9"/>
  <c r="S471" i="9"/>
  <c r="R472" i="9"/>
  <c r="S472" i="9"/>
  <c r="R473" i="9"/>
  <c r="S473" i="9"/>
  <c r="R474" i="9"/>
  <c r="S474" i="9"/>
  <c r="R475" i="9"/>
  <c r="S475" i="9"/>
  <c r="R476" i="9"/>
  <c r="S476" i="9"/>
  <c r="R477" i="9"/>
  <c r="S477" i="9"/>
  <c r="R478" i="9"/>
  <c r="S478" i="9"/>
  <c r="R479" i="9"/>
  <c r="S479" i="9"/>
  <c r="R480" i="9"/>
  <c r="S480" i="9"/>
  <c r="R481" i="9"/>
  <c r="S481" i="9"/>
  <c r="R482" i="9"/>
  <c r="S482" i="9"/>
  <c r="R483" i="9"/>
  <c r="S483" i="9"/>
  <c r="R484" i="9"/>
  <c r="S484" i="9"/>
  <c r="R485" i="9"/>
  <c r="S485" i="9"/>
  <c r="R486" i="9"/>
  <c r="S486" i="9"/>
  <c r="R487" i="9"/>
  <c r="S487" i="9"/>
  <c r="R488" i="9"/>
  <c r="S488" i="9"/>
  <c r="R489" i="9"/>
  <c r="S489" i="9"/>
  <c r="R490" i="9"/>
  <c r="S490" i="9"/>
  <c r="R491" i="9"/>
  <c r="S491" i="9"/>
  <c r="R492" i="9"/>
  <c r="S492" i="9"/>
  <c r="R493" i="9"/>
  <c r="S493" i="9"/>
  <c r="R494" i="9"/>
  <c r="S494" i="9"/>
  <c r="R495" i="9"/>
  <c r="S495" i="9"/>
  <c r="R496" i="9"/>
  <c r="S496" i="9"/>
  <c r="R497" i="9"/>
  <c r="S497" i="9"/>
  <c r="R498" i="9"/>
  <c r="S498" i="9"/>
  <c r="R499" i="9"/>
  <c r="S499" i="9"/>
  <c r="R500" i="9"/>
  <c r="S500" i="9"/>
  <c r="R501" i="9"/>
  <c r="S501" i="9"/>
  <c r="R502" i="9"/>
  <c r="S502" i="9"/>
  <c r="R503" i="9"/>
  <c r="S503" i="9"/>
  <c r="R504" i="9"/>
  <c r="S504" i="9"/>
  <c r="R505" i="9"/>
  <c r="S505" i="9"/>
  <c r="R506" i="9"/>
  <c r="S506" i="9"/>
  <c r="R507" i="9"/>
  <c r="S507" i="9"/>
  <c r="R508" i="9"/>
  <c r="S508" i="9"/>
  <c r="R509" i="9"/>
  <c r="S509" i="9"/>
  <c r="R510" i="9"/>
  <c r="S510" i="9"/>
  <c r="R511" i="9"/>
  <c r="S511" i="9"/>
  <c r="R512" i="9"/>
  <c r="S512" i="9"/>
  <c r="R513" i="9"/>
  <c r="S513" i="9"/>
  <c r="R514" i="9"/>
  <c r="S514" i="9"/>
  <c r="R515" i="9"/>
  <c r="S515" i="9"/>
  <c r="R516" i="9"/>
  <c r="S516" i="9"/>
  <c r="S3" i="9"/>
  <c r="R3" i="9"/>
  <c r="Q395" i="9" l="1"/>
  <c r="I508" i="9" l="1"/>
  <c r="I509" i="9"/>
  <c r="I510" i="9"/>
  <c r="I511" i="9"/>
  <c r="I512" i="9"/>
  <c r="I513" i="9"/>
  <c r="I514" i="9"/>
  <c r="I515" i="9"/>
  <c r="I516" i="9"/>
  <c r="I507" i="9"/>
  <c r="Q400" i="9" l="1"/>
  <c r="Q412" i="9"/>
  <c r="Q392" i="9"/>
  <c r="Q302" i="9"/>
  <c r="Q326" i="9"/>
  <c r="Q313" i="9"/>
  <c r="Q351" i="9"/>
  <c r="Q410" i="9"/>
  <c r="Q409" i="9"/>
  <c r="Q301" i="9"/>
  <c r="Q298" i="9"/>
  <c r="Q373" i="9"/>
  <c r="Q401" i="9"/>
  <c r="Q365" i="9"/>
  <c r="Q374" i="9"/>
  <c r="Q361" i="9"/>
  <c r="Q356" i="9"/>
  <c r="Q415" i="9"/>
  <c r="Q363" i="9"/>
  <c r="Q360" i="9"/>
  <c r="Q335" i="9"/>
  <c r="Q378" i="9"/>
  <c r="Q307" i="9"/>
  <c r="Q322" i="9"/>
  <c r="Q306" i="9"/>
  <c r="Q406" i="9"/>
  <c r="Q327" i="9"/>
  <c r="Q316" i="9"/>
  <c r="Q331" i="9"/>
  <c r="Q385" i="9"/>
  <c r="Q350" i="9"/>
  <c r="Q294" i="9"/>
  <c r="Q387" i="9"/>
  <c r="Q383" i="9"/>
  <c r="Q384" i="9"/>
  <c r="Q346" i="9"/>
  <c r="Q399" i="9"/>
  <c r="Q403" i="9"/>
  <c r="Q413" i="9"/>
  <c r="Q297" i="9"/>
  <c r="Q404" i="9"/>
  <c r="Q393" i="9"/>
  <c r="Q394" i="9"/>
  <c r="Q318" i="9"/>
  <c r="Q414" i="9"/>
  <c r="Q417" i="9"/>
  <c r="Q329" i="9"/>
  <c r="Q405" i="9"/>
  <c r="Q364" i="9"/>
  <c r="Q353" i="9"/>
  <c r="Q324" i="9"/>
  <c r="Q349" i="9"/>
  <c r="Q391" i="9"/>
  <c r="Q390" i="9"/>
  <c r="Q334" i="9"/>
  <c r="Q295" i="9"/>
  <c r="Q359" i="9"/>
  <c r="Q320" i="9"/>
  <c r="Q367" i="9"/>
  <c r="Q299" i="9"/>
  <c r="Q341" i="9"/>
  <c r="Q379" i="9"/>
  <c r="Q339" i="9"/>
  <c r="Q325" i="9"/>
  <c r="Q376" i="9"/>
  <c r="Q366" i="9"/>
  <c r="Q311" i="9"/>
  <c r="Q362" i="9"/>
  <c r="Q303" i="9"/>
  <c r="Q312" i="9"/>
  <c r="Q305" i="9"/>
  <c r="Q328" i="9"/>
  <c r="Q310" i="9"/>
  <c r="Q371" i="9"/>
  <c r="Q352" i="9"/>
  <c r="Q375" i="9"/>
  <c r="Q323" i="9"/>
  <c r="Q389" i="9"/>
  <c r="Q315" i="9"/>
  <c r="Q368" i="9"/>
  <c r="Q296" i="9"/>
  <c r="Q398" i="9"/>
  <c r="Q336" i="9"/>
  <c r="Q408" i="9"/>
  <c r="Q343" i="9"/>
  <c r="Q347" i="9"/>
  <c r="Q338" i="9"/>
  <c r="Q344" i="9"/>
  <c r="Q411" i="9"/>
  <c r="Q319" i="9"/>
  <c r="Q377" i="9"/>
  <c r="Q300" i="9"/>
  <c r="Q416" i="9"/>
  <c r="Q407" i="9"/>
  <c r="Q309" i="9"/>
  <c r="Q342" i="9"/>
  <c r="Q397" i="9"/>
  <c r="Q308" i="9"/>
  <c r="Q314" i="9"/>
  <c r="Q321" i="9"/>
  <c r="Q304" i="9"/>
  <c r="Q317" i="9"/>
  <c r="Q348" i="9"/>
  <c r="Q372" i="9"/>
  <c r="Q388" i="9"/>
  <c r="Q345" i="9"/>
  <c r="Q293" i="9"/>
  <c r="Q370" i="9"/>
  <c r="Q355" i="9"/>
  <c r="Q369" i="9"/>
  <c r="Q396" i="9"/>
  <c r="Q381" i="9"/>
  <c r="Q386" i="9"/>
  <c r="Q354" i="9"/>
  <c r="Q332" i="9"/>
  <c r="Q357" i="9"/>
  <c r="Q358" i="9"/>
  <c r="Q382" i="9"/>
  <c r="Q330" i="9"/>
  <c r="Q455" i="9"/>
  <c r="Q482" i="9"/>
  <c r="Q483" i="9"/>
  <c r="Q464" i="9"/>
  <c r="Q219" i="9"/>
  <c r="Q492" i="9"/>
  <c r="Q248" i="9"/>
  <c r="Q286" i="9"/>
  <c r="Q124" i="9"/>
  <c r="Q427" i="9"/>
  <c r="Q45" i="9"/>
  <c r="Q29" i="9"/>
  <c r="Q257" i="9"/>
  <c r="Q176" i="9"/>
  <c r="Q213" i="9"/>
  <c r="Q91" i="9"/>
  <c r="Q182" i="9"/>
  <c r="Q216" i="9"/>
  <c r="Q419" i="9"/>
  <c r="Q8" i="9"/>
  <c r="Q463" i="9"/>
  <c r="Q431" i="9"/>
  <c r="Q277" i="9"/>
  <c r="Q25" i="9"/>
  <c r="Q236" i="9"/>
  <c r="Q54" i="9"/>
  <c r="Q50" i="9"/>
  <c r="Q5" i="9"/>
  <c r="Q30" i="9"/>
  <c r="Q452" i="9"/>
  <c r="Q435" i="9"/>
  <c r="Q245" i="9"/>
  <c r="Q232" i="9"/>
  <c r="Q84" i="9"/>
  <c r="Q171" i="9"/>
  <c r="Q95" i="9"/>
  <c r="Q3" i="9"/>
  <c r="Q165" i="9"/>
  <c r="Q114" i="9"/>
  <c r="Q238" i="9"/>
  <c r="Q234" i="9"/>
  <c r="Q28" i="9"/>
  <c r="Q156" i="9"/>
  <c r="Q141" i="9"/>
  <c r="Q78" i="9"/>
  <c r="Q83" i="9"/>
  <c r="Q282" i="9"/>
  <c r="Q258" i="9"/>
  <c r="Q24" i="9"/>
  <c r="Q184" i="9"/>
  <c r="Q291" i="9"/>
  <c r="Q239" i="9"/>
  <c r="Q210" i="9"/>
  <c r="Q169" i="9"/>
  <c r="Q48" i="9"/>
  <c r="Q481" i="9"/>
  <c r="Q117" i="9"/>
  <c r="Q462" i="9"/>
  <c r="Q504" i="9"/>
  <c r="Q466" i="9"/>
  <c r="Q21" i="9"/>
  <c r="Q495" i="9"/>
  <c r="Q10" i="9"/>
  <c r="Q113" i="9"/>
  <c r="Q188" i="9"/>
  <c r="Q491" i="9"/>
  <c r="Q116" i="9"/>
  <c r="Q46" i="9"/>
  <c r="Q49" i="9"/>
  <c r="Q199" i="9"/>
  <c r="Q47" i="9"/>
  <c r="Q486" i="9"/>
  <c r="Q71" i="9"/>
  <c r="Q119" i="9"/>
  <c r="Q189" i="9"/>
  <c r="Q247" i="9"/>
  <c r="Q180" i="9"/>
  <c r="Q22" i="9"/>
  <c r="Q87" i="9"/>
  <c r="Q440" i="9"/>
  <c r="Q421" i="9"/>
  <c r="Q112" i="9"/>
  <c r="Q6" i="9"/>
  <c r="Q266" i="9"/>
  <c r="Q172" i="9"/>
  <c r="Q237" i="9"/>
  <c r="Q231" i="9"/>
  <c r="Q34" i="9"/>
  <c r="Q108" i="9"/>
  <c r="Q179" i="9"/>
  <c r="Q193" i="9"/>
  <c r="Q120" i="9"/>
  <c r="Q37" i="9"/>
  <c r="Q251" i="9"/>
  <c r="Q498" i="9"/>
  <c r="Q43" i="9"/>
  <c r="Q468" i="9"/>
  <c r="Q185" i="9"/>
  <c r="Q161" i="9"/>
  <c r="Q278" i="9"/>
  <c r="Q500" i="9"/>
  <c r="Q494" i="9"/>
  <c r="Q457" i="9"/>
  <c r="Q456" i="9"/>
  <c r="Q428" i="9"/>
  <c r="Q226" i="9"/>
  <c r="Q198" i="9"/>
  <c r="Q241" i="9"/>
  <c r="Q228" i="9"/>
  <c r="Q206" i="9"/>
  <c r="Q227" i="9"/>
  <c r="Q262" i="9"/>
  <c r="Q142" i="9"/>
  <c r="Q35" i="9"/>
  <c r="Q103" i="9"/>
  <c r="Q507" i="9"/>
  <c r="Q204" i="9"/>
  <c r="Q64" i="9"/>
  <c r="Q211" i="9"/>
  <c r="Q33" i="9"/>
  <c r="Q450" i="9"/>
  <c r="Q222" i="9"/>
  <c r="Q66" i="9"/>
  <c r="Q56" i="9"/>
  <c r="Q18" i="9"/>
  <c r="Q167" i="9"/>
  <c r="Q68" i="9"/>
  <c r="Q136" i="9"/>
  <c r="Q458" i="9"/>
  <c r="Q126" i="9"/>
  <c r="Q224" i="9"/>
  <c r="Q437" i="9"/>
  <c r="Q488" i="9"/>
  <c r="Q288" i="9"/>
  <c r="Q92" i="9"/>
  <c r="Q446" i="9"/>
  <c r="Q159" i="9"/>
  <c r="Q11" i="9"/>
  <c r="Q163" i="9"/>
  <c r="Q195" i="9"/>
  <c r="Q107" i="9"/>
  <c r="Q244" i="9"/>
  <c r="Q259" i="9"/>
  <c r="Q137" i="9"/>
  <c r="Q7" i="9"/>
  <c r="Q75" i="9"/>
  <c r="Q89" i="9"/>
  <c r="Q38" i="9"/>
  <c r="Q12" i="9"/>
  <c r="Q52" i="9"/>
  <c r="Q175" i="9"/>
  <c r="Q478" i="9"/>
  <c r="Q436" i="9"/>
  <c r="Q138" i="9"/>
  <c r="Q13" i="9"/>
  <c r="Q79" i="9"/>
  <c r="Q287" i="9"/>
  <c r="Q98" i="9"/>
  <c r="Q90" i="9"/>
  <c r="Q265" i="9"/>
  <c r="Q97" i="9"/>
  <c r="Q166" i="9"/>
  <c r="Q229" i="9"/>
  <c r="Q74" i="9"/>
  <c r="Q284" i="9"/>
  <c r="Q420" i="9"/>
  <c r="Q469" i="9"/>
  <c r="Q476" i="9"/>
  <c r="Q432" i="9"/>
  <c r="Q240" i="9"/>
  <c r="Q449" i="9"/>
  <c r="Q490" i="9"/>
  <c r="Q477" i="9"/>
  <c r="Q214" i="9"/>
  <c r="Q65" i="9"/>
  <c r="Q61" i="9"/>
  <c r="Q272" i="9"/>
  <c r="Q242" i="9"/>
  <c r="Q187" i="9"/>
  <c r="Q76" i="9"/>
  <c r="Q438" i="9"/>
  <c r="Q254" i="9"/>
  <c r="Q280" i="9"/>
  <c r="Q194" i="9"/>
  <c r="Q27" i="9"/>
  <c r="Q164" i="9"/>
  <c r="Q170" i="9"/>
  <c r="Q200" i="9"/>
  <c r="Q274" i="9"/>
  <c r="Q16" i="9"/>
  <c r="Q140" i="9"/>
  <c r="Q209" i="9"/>
  <c r="Q502" i="9"/>
  <c r="Q255" i="9"/>
  <c r="Q63" i="9"/>
  <c r="Q474" i="9"/>
  <c r="Q23" i="9"/>
  <c r="Q443" i="9"/>
  <c r="Q69" i="9"/>
  <c r="Q471" i="9"/>
  <c r="Q260" i="9"/>
  <c r="Q493" i="9"/>
  <c r="Q285" i="9"/>
  <c r="Q31" i="9"/>
  <c r="Q109" i="9"/>
  <c r="Q55" i="9"/>
  <c r="Q426" i="9"/>
  <c r="Q279" i="9"/>
  <c r="Q487" i="9"/>
  <c r="Q82" i="9"/>
  <c r="Q281" i="9"/>
  <c r="Q439" i="9"/>
  <c r="Q441" i="9"/>
  <c r="Q81" i="9"/>
  <c r="Q93" i="9"/>
  <c r="Q433" i="9"/>
  <c r="Q212" i="9"/>
  <c r="Q461" i="9"/>
  <c r="Q162" i="9"/>
  <c r="Q223" i="9"/>
  <c r="Q472" i="9"/>
  <c r="Q501" i="9"/>
  <c r="Q181" i="9"/>
  <c r="Q196" i="9"/>
  <c r="Q77" i="9"/>
  <c r="Q118" i="9"/>
  <c r="Q235" i="9"/>
  <c r="Q106" i="9"/>
  <c r="Q496" i="9"/>
  <c r="Q158" i="9"/>
  <c r="Q249" i="9"/>
  <c r="Q127" i="9"/>
  <c r="Q62" i="9"/>
  <c r="Q73" i="9"/>
  <c r="Q470" i="9"/>
  <c r="Q67" i="9"/>
  <c r="Q17" i="9"/>
  <c r="Q41" i="9"/>
  <c r="Q96" i="9"/>
  <c r="Q174" i="9"/>
  <c r="Q246" i="9"/>
  <c r="Q230" i="9"/>
  <c r="Q51" i="9"/>
  <c r="Q173" i="9"/>
  <c r="Q133" i="9"/>
  <c r="Q70" i="9"/>
  <c r="Q57" i="9"/>
  <c r="Q442" i="9"/>
  <c r="Q86" i="9"/>
  <c r="Q207" i="9"/>
  <c r="Q220" i="9"/>
  <c r="Q485" i="9"/>
  <c r="Q100" i="9"/>
  <c r="Q42" i="9"/>
  <c r="Q499" i="9"/>
  <c r="Q9" i="9"/>
  <c r="Q85" i="9"/>
  <c r="Q72" i="9"/>
  <c r="Q14" i="9"/>
  <c r="Q139" i="9"/>
  <c r="Q160" i="9"/>
  <c r="Q283" i="9"/>
  <c r="Q60" i="9"/>
  <c r="Q111" i="9"/>
  <c r="Q267" i="9"/>
  <c r="Q453" i="9"/>
  <c r="Q451" i="9"/>
  <c r="Q289" i="9"/>
  <c r="Q505" i="9"/>
  <c r="Q268" i="9"/>
  <c r="Q44" i="9"/>
  <c r="Q429" i="9"/>
  <c r="Q20" i="9"/>
  <c r="Q104" i="9"/>
  <c r="Q122" i="9"/>
  <c r="Q263" i="9"/>
  <c r="Q218" i="9"/>
  <c r="Q183" i="9"/>
  <c r="Q423" i="9"/>
  <c r="Q26" i="9"/>
  <c r="Q261" i="9"/>
  <c r="Q201" i="9"/>
  <c r="Q484" i="9"/>
  <c r="Q465" i="9"/>
  <c r="Q110" i="9"/>
  <c r="Q88" i="9"/>
  <c r="Q36" i="9"/>
  <c r="Q479" i="9"/>
  <c r="Q94" i="9"/>
  <c r="Q460" i="9"/>
  <c r="Q467" i="9"/>
  <c r="Q215" i="9"/>
  <c r="Q15" i="9"/>
  <c r="Q58" i="9"/>
  <c r="Q177" i="9"/>
  <c r="Q191" i="9"/>
  <c r="Q430" i="9"/>
  <c r="Q105" i="9"/>
  <c r="Q448" i="9"/>
  <c r="Q80" i="9"/>
  <c r="Q473" i="9"/>
  <c r="Q208" i="9"/>
  <c r="Q444" i="9"/>
  <c r="Q203" i="9"/>
  <c r="Q489" i="9"/>
  <c r="Q125" i="9"/>
  <c r="Q205" i="9"/>
  <c r="Q425" i="9"/>
  <c r="Q445" i="9"/>
  <c r="Q168" i="9"/>
  <c r="Q434" i="9"/>
  <c r="Q506" i="9"/>
  <c r="Q178" i="9"/>
  <c r="Q225" i="9"/>
  <c r="Q115" i="9"/>
  <c r="Q40" i="9"/>
  <c r="Q32" i="9"/>
  <c r="Q497" i="9"/>
  <c r="Q217" i="9"/>
  <c r="Q134" i="9"/>
  <c r="Q197" i="9"/>
  <c r="Q459" i="9"/>
  <c r="Q155" i="9"/>
  <c r="Q157" i="9"/>
  <c r="Q233" i="9"/>
  <c r="Q424" i="9"/>
  <c r="Q221" i="9"/>
  <c r="Q290" i="9"/>
  <c r="Q102" i="9"/>
  <c r="Q503" i="9"/>
  <c r="Q4" i="9"/>
  <c r="Q422" i="9"/>
  <c r="Q190" i="9"/>
  <c r="Q121" i="9"/>
  <c r="Q264" i="9"/>
  <c r="Q202" i="9"/>
  <c r="Q39" i="9"/>
  <c r="Q475" i="9"/>
  <c r="Q135" i="9"/>
  <c r="Q454" i="9"/>
  <c r="Q243" i="9"/>
  <c r="Q276" i="9"/>
  <c r="Q101" i="9"/>
  <c r="Q292" i="9"/>
  <c r="Q192" i="9"/>
  <c r="Q143" i="9"/>
  <c r="Q480" i="9"/>
  <c r="Q447" i="9"/>
  <c r="Q19" i="9"/>
  <c r="Q123" i="9"/>
  <c r="Q59" i="9"/>
  <c r="Q186" i="9"/>
  <c r="Q53" i="9"/>
  <c r="Q99" i="9"/>
  <c r="Q516" i="9"/>
  <c r="Q515" i="9"/>
  <c r="Q514" i="9"/>
  <c r="Q513" i="9"/>
  <c r="Q512" i="9"/>
  <c r="Q511" i="9"/>
  <c r="Q510" i="9"/>
  <c r="Q509" i="9"/>
  <c r="Q508" i="9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A2" i="7" l="1" a="1"/>
  <c r="U2" i="9" a="1"/>
  <c r="U2" i="9" s="1"/>
  <c r="E1" i="8" l="1" a="1"/>
  <c r="A2" i="7"/>
  <c r="U1" i="9" a="1"/>
  <c r="U1" i="9" s="1"/>
  <c r="E1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<sst xmlns="http://schemas.openxmlformats.org/spreadsheetml/2006/main" count="5553" uniqueCount="1674">
  <si>
    <t>Division Code</t>
  </si>
  <si>
    <t>Division Name</t>
  </si>
  <si>
    <t>Procurement and Contracting Requirements</t>
  </si>
  <si>
    <t>General Requirements</t>
  </si>
  <si>
    <t>Existing Conditions</t>
  </si>
  <si>
    <t>Concrete</t>
  </si>
  <si>
    <t>Masonry</t>
  </si>
  <si>
    <t>Metals</t>
  </si>
  <si>
    <t>Wood, Plastics, and Composites</t>
  </si>
  <si>
    <t>Thermal and Moisture Protection</t>
  </si>
  <si>
    <t>Openings</t>
  </si>
  <si>
    <t>Finishes</t>
  </si>
  <si>
    <t>Specialties</t>
  </si>
  <si>
    <t>Equipment</t>
  </si>
  <si>
    <t>Furnishings</t>
  </si>
  <si>
    <t>Special Construction</t>
  </si>
  <si>
    <t>Conveying Equipment</t>
  </si>
  <si>
    <t>Fire Suppression</t>
  </si>
  <si>
    <t>Plumbing</t>
  </si>
  <si>
    <t>Heating, Ventilating, and Air Conditioning</t>
  </si>
  <si>
    <t>Integrated Automation</t>
  </si>
  <si>
    <t>Electrical</t>
  </si>
  <si>
    <t>Communications</t>
  </si>
  <si>
    <t>Electronic Safety and Security</t>
  </si>
  <si>
    <t>Earthwork</t>
  </si>
  <si>
    <t>Exterior Improvements</t>
  </si>
  <si>
    <t>Utilities</t>
  </si>
  <si>
    <t>Transportation</t>
  </si>
  <si>
    <t>Waterway and Marine</t>
  </si>
  <si>
    <t>Process Integration</t>
  </si>
  <si>
    <t>Material Processing and Handling Equipment</t>
  </si>
  <si>
    <t>Process Heating, Cooling, and Drying Equipment</t>
  </si>
  <si>
    <t>Process Gas and Liquid Handling, Purification, and Storage Equipment</t>
  </si>
  <si>
    <t>Pollution Control Equipment</t>
  </si>
  <si>
    <t>Industry-Specific Manufacturing Equipment</t>
  </si>
  <si>
    <t>Water and Wastewater Equipment</t>
  </si>
  <si>
    <t>Electrical Power Generation</t>
  </si>
  <si>
    <t>Subdivision Code</t>
  </si>
  <si>
    <t>Subdivision</t>
  </si>
  <si>
    <t>Category Code</t>
  </si>
  <si>
    <t>Category Name Arabic</t>
  </si>
  <si>
    <t>Category Name English</t>
  </si>
  <si>
    <t>Material Code</t>
  </si>
  <si>
    <t>Material Name Arabic</t>
  </si>
  <si>
    <t>Material Name English</t>
  </si>
  <si>
    <t>00</t>
  </si>
  <si>
    <t>70</t>
  </si>
  <si>
    <t>Project Closeouts</t>
  </si>
  <si>
    <t>10.01</t>
  </si>
  <si>
    <t>مخالفات الموقع</t>
  </si>
  <si>
    <t>Site Violations</t>
  </si>
  <si>
    <t>01</t>
  </si>
  <si>
    <t>NOT FOLLOW PPE</t>
  </si>
  <si>
    <t>02</t>
  </si>
  <si>
    <t>أجور العمالة الخارجية</t>
  </si>
  <si>
    <t>External Labor Wages</t>
  </si>
  <si>
    <t>03</t>
  </si>
  <si>
    <t>خصم كميات أعمال لم تنفذ طبقا للعقد</t>
  </si>
  <si>
    <t>Deduction for Uncompleted Work per Contract</t>
  </si>
  <si>
    <t>04</t>
  </si>
  <si>
    <t>خصم قيمة معالجة الخرسانات</t>
  </si>
  <si>
    <t>Deduction for Concrete Treatment</t>
  </si>
  <si>
    <t>05</t>
  </si>
  <si>
    <t>اضافه فرق اعمال</t>
  </si>
  <si>
    <t>Additional Work Differences</t>
  </si>
  <si>
    <t>06</t>
  </si>
  <si>
    <t>خصم اخشاب نسبة هالك</t>
  </si>
  <si>
    <t>Deduction for Wood Wastage Percentage</t>
  </si>
  <si>
    <t>50</t>
  </si>
  <si>
    <t>Temporary Facilities and Controls</t>
  </si>
  <si>
    <t>00.10</t>
  </si>
  <si>
    <t>المياه</t>
  </si>
  <si>
    <t>Water</t>
  </si>
  <si>
    <t>تنكر مياه</t>
  </si>
  <si>
    <t>Water tanker</t>
  </si>
  <si>
    <t>Execution and Closeout Requirements</t>
  </si>
  <si>
    <t>أوفر تيم الاستشاري</t>
  </si>
  <si>
    <t>Consultant Overtime</t>
  </si>
  <si>
    <t>مهندس</t>
  </si>
  <si>
    <t>Engineer</t>
  </si>
  <si>
    <t>فورمان</t>
  </si>
  <si>
    <t>Foreman</t>
  </si>
  <si>
    <t>مساح</t>
  </si>
  <si>
    <t>Surveyor</t>
  </si>
  <si>
    <t>مراقب كهرباء</t>
  </si>
  <si>
    <t>Electrical Inspector</t>
  </si>
  <si>
    <t>مراقب ميكانيكا</t>
  </si>
  <si>
    <t>Mechanical Inspector</t>
  </si>
  <si>
    <t>00.20</t>
  </si>
  <si>
    <t>معدات السلامه</t>
  </si>
  <si>
    <t>Safety Equipment</t>
  </si>
  <si>
    <t>VEST FOR Eng.</t>
  </si>
  <si>
    <t>Engineer Vest</t>
  </si>
  <si>
    <t>VEST FOR FORMAN</t>
  </si>
  <si>
    <t>Foreman Vest</t>
  </si>
  <si>
    <t>VEST FOR LABOUR</t>
  </si>
  <si>
    <t>Labor Vest</t>
  </si>
  <si>
    <t>Helmet</t>
  </si>
  <si>
    <t>SAFETY SHOES</t>
  </si>
  <si>
    <t>Safety Shoes</t>
  </si>
  <si>
    <t>07</t>
  </si>
  <si>
    <t>SAFETY GLASS</t>
  </si>
  <si>
    <t>Safety Glasses</t>
  </si>
  <si>
    <t>08</t>
  </si>
  <si>
    <t>HAND GLOVES</t>
  </si>
  <si>
    <t>Hand Gloves</t>
  </si>
  <si>
    <t>09</t>
  </si>
  <si>
    <t>UNIFORM</t>
  </si>
  <si>
    <t>Uniform</t>
  </si>
  <si>
    <t>10</t>
  </si>
  <si>
    <t>حزام امان</t>
  </si>
  <si>
    <t>Safety Belt</t>
  </si>
  <si>
    <t>Common Work Results for Concrete</t>
  </si>
  <si>
    <t>الاسمنت</t>
  </si>
  <si>
    <t>Cement</t>
  </si>
  <si>
    <t>الاسمنت العادي</t>
  </si>
  <si>
    <t>Ordinary Cement</t>
  </si>
  <si>
    <t>أسمنت مقاوم</t>
  </si>
  <si>
    <t>Sulfate Resisting Cement</t>
  </si>
  <si>
    <t>أسمنت تشطيب عادي</t>
  </si>
  <si>
    <t>Ordinary Finishing Cement</t>
  </si>
  <si>
    <t>أسمنت تشطيب مقاوم</t>
  </si>
  <si>
    <t>Resistant Finishing Cement</t>
  </si>
  <si>
    <t>Concrete Forming and Accessories</t>
  </si>
  <si>
    <t>الخشب</t>
  </si>
  <si>
    <t>Wood &amp; Formwork</t>
  </si>
  <si>
    <t>Plywood 1220 X 2440</t>
  </si>
  <si>
    <t>Wood 3"x3"x7 pieces</t>
  </si>
  <si>
    <t>PLYWOOD SIZE : 2.44 X 120 CM 18 MM, GREEN COLOR, YOSR BRAND</t>
  </si>
  <si>
    <t>WOOD SIZE : 7.5 X 7.5 X 3 MTR</t>
  </si>
  <si>
    <t>FINLANDI PLANK 3 MTR</t>
  </si>
  <si>
    <t>TIE ROD BOLT</t>
  </si>
  <si>
    <t>TIE ROD NUT</t>
  </si>
  <si>
    <t>TIE ROD POLE 600 MM</t>
  </si>
  <si>
    <t>FINLANDI PLANK 3.90 MTR</t>
  </si>
  <si>
    <t>ألواح بنطي</t>
  </si>
  <si>
    <t>Bunti Boards</t>
  </si>
  <si>
    <t>11</t>
  </si>
  <si>
    <t>Yellow Plywood 61 X 2440</t>
  </si>
  <si>
    <t>12</t>
  </si>
  <si>
    <t>Wood Blocks 10*10*4 meters</t>
  </si>
  <si>
    <t>13</t>
  </si>
  <si>
    <t>Latzana Board 3.30m</t>
  </si>
  <si>
    <t>14</t>
  </si>
  <si>
    <t>Austrian Wood Blocks 3*7*7</t>
  </si>
  <si>
    <t>15</t>
  </si>
  <si>
    <t>Wood Blocks 3*3*3</t>
  </si>
  <si>
    <t>16</t>
  </si>
  <si>
    <t>Strong Wood Blocks 4*10*10</t>
  </si>
  <si>
    <t>17</t>
  </si>
  <si>
    <t>Latzana 3.6 meters</t>
  </si>
  <si>
    <t>18</t>
  </si>
  <si>
    <t>Wood Blocks 3*7*7</t>
  </si>
  <si>
    <t>19</t>
  </si>
  <si>
    <t>Latzana 3 meters</t>
  </si>
  <si>
    <t>20</t>
  </si>
  <si>
    <t>Wood 3" X 3" X 3 mtr</t>
  </si>
  <si>
    <t>Concrete Accessories</t>
  </si>
  <si>
    <t>البسكوت</t>
  </si>
  <si>
    <t>Concrete Spacers</t>
  </si>
  <si>
    <t>بسكوت للخرسانة 100 حبة</t>
  </si>
  <si>
    <t>Concrete Spacer 100 pieces</t>
  </si>
  <si>
    <t>Concrete Reinforcing</t>
  </si>
  <si>
    <t>الحديد</t>
  </si>
  <si>
    <t>Reinforcement Steel</t>
  </si>
  <si>
    <t>8 mm Reinforcement Bar</t>
  </si>
  <si>
    <t>10 mm Reinforcement Bar</t>
  </si>
  <si>
    <t>12 mm Reinforcement Bar</t>
  </si>
  <si>
    <t>14 mm Reinforcement Bar</t>
  </si>
  <si>
    <t>16 mm Reinforcement Bar</t>
  </si>
  <si>
    <t>18 mm Reinforcement Bar</t>
  </si>
  <si>
    <t>20 mm Reinforcement Bar</t>
  </si>
  <si>
    <t>22 mm Reinforcement Bar</t>
  </si>
  <si>
    <t>25 mm Reinforcement Bar</t>
  </si>
  <si>
    <t>Tie wire / Binding Wire</t>
  </si>
  <si>
    <t>21</t>
  </si>
  <si>
    <t>Reinforcing Steel</t>
  </si>
  <si>
    <t>steel wire mesh</t>
  </si>
  <si>
    <t>steel wire mesh 8 mm Size 2 X 5 m, Opening 20 X 20 Cm</t>
  </si>
  <si>
    <t>steel wire mesh 8 mm Size 4 X 1.5 m, Opening 20 X 20 Cm</t>
  </si>
  <si>
    <t>30</t>
  </si>
  <si>
    <t>Cast-in-Place Concrete</t>
  </si>
  <si>
    <t>الخرسانه</t>
  </si>
  <si>
    <t>C 10 OPC (Ordinary Portland Cement)</t>
  </si>
  <si>
    <t>C 20 OPC</t>
  </si>
  <si>
    <t>C 20 SRC</t>
  </si>
  <si>
    <t>C 25 OPC</t>
  </si>
  <si>
    <t>C 25 SRC</t>
  </si>
  <si>
    <t>C 28 OPC</t>
  </si>
  <si>
    <t>C 28 SRC</t>
  </si>
  <si>
    <t>C 30 OPC</t>
  </si>
  <si>
    <t>C 30 SRC</t>
  </si>
  <si>
    <t>C 30 OPC E.S</t>
  </si>
  <si>
    <t>C 30 SRC E.S</t>
  </si>
  <si>
    <t>C 35 OPC</t>
  </si>
  <si>
    <t>C 35 SRC</t>
  </si>
  <si>
    <t>C 35 OPC E.S</t>
  </si>
  <si>
    <t>C 35 SRC E.S</t>
  </si>
  <si>
    <t>39</t>
  </si>
  <si>
    <t>Concrete Curing</t>
  </si>
  <si>
    <t>مواد معالجة الخرسانه</t>
  </si>
  <si>
    <t>Concrete Treatment Materials</t>
  </si>
  <si>
    <t>CIC CICOCURE 210L</t>
  </si>
  <si>
    <t>Concrete Treatment Material per liter</t>
  </si>
  <si>
    <t>CEMFAIR SMOOTH (DCP) 18 kg Bag</t>
  </si>
  <si>
    <t>CEMFAIR SMOOTH (DCP) 25 kg Bag</t>
  </si>
  <si>
    <t>زنك رنش معالجه الصدأ</t>
  </si>
  <si>
    <t>Zinc Rich Rust Treatment</t>
  </si>
  <si>
    <t>ماده ربط الخرسانه بولى</t>
  </si>
  <si>
    <t>Concrete Bonding Poly Material</t>
  </si>
  <si>
    <t>CEMFAIR SMOOTH (DCP) 20 kg Bag</t>
  </si>
  <si>
    <t>Unit Masonry</t>
  </si>
  <si>
    <t>البلوك</t>
  </si>
  <si>
    <t>Blocks</t>
  </si>
  <si>
    <t>SOLID BLOCK 20 CM</t>
  </si>
  <si>
    <t>SOLID BLOCK 10 CM</t>
  </si>
  <si>
    <t>INSULATED BLOCK 25 CM</t>
  </si>
  <si>
    <t>INSULATED BLOCK 20 CM</t>
  </si>
  <si>
    <t>ORDINARY BLOCK 20 CM</t>
  </si>
  <si>
    <t>ORDINARY BLOCK 15 CM</t>
  </si>
  <si>
    <t>ORDINARY BLOCK 10 CM</t>
  </si>
  <si>
    <t>BLOCK FOR SLEEVES</t>
  </si>
  <si>
    <t>ORDINARY BLOCK 30 CM</t>
  </si>
  <si>
    <t>25</t>
  </si>
  <si>
    <t>Masonry Assemblies</t>
  </si>
  <si>
    <t>اكسسوارات البلوك</t>
  </si>
  <si>
    <t>Block Accessories</t>
  </si>
  <si>
    <t>زاويه بلوك 2.5 سم</t>
  </si>
  <si>
    <t>Block Corner 2.5 cm</t>
  </si>
  <si>
    <t>Block Corner 5 cm</t>
  </si>
  <si>
    <t>سلم بلوك عرض 20 سم</t>
  </si>
  <si>
    <t>Block Ladder 20 cm width</t>
  </si>
  <si>
    <t>سلم بلوك عرض 15 سم</t>
  </si>
  <si>
    <t>Block Ladder 15 cm width</t>
  </si>
  <si>
    <t>سلم بلوك عرض 10 سم</t>
  </si>
  <si>
    <t>Block Ladder 10 cm width</t>
  </si>
  <si>
    <t>سلم بلوك عرض 5 سم</t>
  </si>
  <si>
    <t>Block Ladder 5 cm width</t>
  </si>
  <si>
    <t>Kana (Block Reinforcement)</t>
  </si>
  <si>
    <t>Nail Cartridges</t>
  </si>
  <si>
    <t>سلم بلوك عرض 25 سم</t>
  </si>
  <si>
    <t>Block Ladder 25 cm width</t>
  </si>
  <si>
    <t>Metal Fabrications</t>
  </si>
  <si>
    <t>السقالات</t>
  </si>
  <si>
    <t>Scaffolding</t>
  </si>
  <si>
    <t>فريم مدهون مع سلم</t>
  </si>
  <si>
    <t>Painted Frame with Ladder</t>
  </si>
  <si>
    <t>فريم مدهون بدون سلم</t>
  </si>
  <si>
    <t>Painted Frame without Ladder</t>
  </si>
  <si>
    <t>مقصات عرضيه</t>
  </si>
  <si>
    <t>Cross Braces</t>
  </si>
  <si>
    <t>مقصات افقيه ( قصيره )</t>
  </si>
  <si>
    <t>Horizontal Braces (Short)</t>
  </si>
  <si>
    <t>قاعده جاك</t>
  </si>
  <si>
    <t>Jack Base</t>
  </si>
  <si>
    <t>شده معدنيه</t>
  </si>
  <si>
    <t>Metal Tensioner</t>
  </si>
  <si>
    <t>جاكات</t>
  </si>
  <si>
    <t>Jacks</t>
  </si>
  <si>
    <t>Dampproofing and Waterproofing</t>
  </si>
  <si>
    <t>مواد العزل</t>
  </si>
  <si>
    <t>Insulation Materials</t>
  </si>
  <si>
    <t>دهان بيتومين لعزل الأساسات</t>
  </si>
  <si>
    <t>Bituminous Paint for Foundation Insulation</t>
  </si>
  <si>
    <t>بريمر داخلي لعزل الحمامات</t>
  </si>
  <si>
    <t>Interior Primer for Bathroom Insulation</t>
  </si>
  <si>
    <t>لفائف البيتومين لعزل الحمامات</t>
  </si>
  <si>
    <t>Bituminous Rolls for Bathroom Insulation</t>
  </si>
  <si>
    <t>الألياف</t>
  </si>
  <si>
    <t>Fibers</t>
  </si>
  <si>
    <t>الفوم</t>
  </si>
  <si>
    <t>Foam</t>
  </si>
  <si>
    <t>Thermal Protection</t>
  </si>
  <si>
    <t>DADCO PROOF COLD INSULATION PACKING : 100 KG</t>
  </si>
  <si>
    <t>SETSEAL CM</t>
  </si>
  <si>
    <t>Nitro Proof-10 (200 L)</t>
  </si>
  <si>
    <t>Plaster and Gypsum Board</t>
  </si>
  <si>
    <t>جبسومبورد</t>
  </si>
  <si>
    <t>Gypsum Board</t>
  </si>
  <si>
    <t>Angle 60 mm</t>
  </si>
  <si>
    <t>Omega 60 mm</t>
  </si>
  <si>
    <t>Bridge 60 mm</t>
  </si>
  <si>
    <t>Binding Rod 8 mm</t>
  </si>
  <si>
    <t>Clip 38 mm</t>
  </si>
  <si>
    <t>Dire Clip 38 mm</t>
  </si>
  <si>
    <t>White Iron Nail 13 mm</t>
  </si>
  <si>
    <t>Gypsum Nail 25 mm</t>
  </si>
  <si>
    <t>Plastic Nail with Fischer</t>
  </si>
  <si>
    <t>Nut 8 mm</t>
  </si>
  <si>
    <t>Copper Pin 6 mm</t>
  </si>
  <si>
    <t>24</t>
  </si>
  <si>
    <t>Plastering</t>
  </si>
  <si>
    <t>اكسسوارات اللياسه</t>
  </si>
  <si>
    <t>Plastering Accessories</t>
  </si>
  <si>
    <t>Plaster Corner 7 cm</t>
  </si>
  <si>
    <t>Plaster Mesh (Roll)</t>
  </si>
  <si>
    <t>شبك فايبر ( رول )</t>
  </si>
  <si>
    <t>Fiber Mesh (Roll)</t>
  </si>
  <si>
    <t>زاويه لياسه خارجيه ( قرسبيكو )</t>
  </si>
  <si>
    <t>External Plaster Corner (Cresbico)</t>
  </si>
  <si>
    <t>علبه مسمار 25 ملم</t>
  </si>
  <si>
    <t>Nail Box 25 mm</t>
  </si>
  <si>
    <t>Plaster Rose Bag</t>
  </si>
  <si>
    <t>جروف سماكه 19 ملم</t>
  </si>
  <si>
    <t>Grooves 19 mm thickness</t>
  </si>
  <si>
    <t>كيمكال</t>
  </si>
  <si>
    <t>Chemical</t>
  </si>
  <si>
    <t>Thread</t>
  </si>
  <si>
    <t>Tiling</t>
  </si>
  <si>
    <t>السيراميك</t>
  </si>
  <si>
    <t>Ceramics</t>
  </si>
  <si>
    <t>صليبه 2 مللى</t>
  </si>
  <si>
    <t>Cross 2 mm</t>
  </si>
  <si>
    <t>غراء بلاط</t>
  </si>
  <si>
    <t>Tile Adhesive</t>
  </si>
  <si>
    <t>90</t>
  </si>
  <si>
    <t>Painting and Coating</t>
  </si>
  <si>
    <t>الدهانات</t>
  </si>
  <si>
    <t>Paints</t>
  </si>
  <si>
    <t>Skimo White</t>
  </si>
  <si>
    <t>معجون أبيض 25 ك</t>
  </si>
  <si>
    <t>White Putty 25 kg</t>
  </si>
  <si>
    <t>White Primer</t>
  </si>
  <si>
    <t>الدهانات (سيحما + مايستر)</t>
  </si>
  <si>
    <t>Paints (SIGMA + MEISTER)</t>
  </si>
  <si>
    <t>MEISTER WR SUPER PUTTY3 / BAG 25KG</t>
  </si>
  <si>
    <t>AQUAMATT, COLOR-WHITE, P/N-0839, PACKING SIZE:15 LTR</t>
  </si>
  <si>
    <t>SIGMACRYL SILK, COLOR-APS 5766, P/N-0839, PACKING SIZE:15 LTR</t>
  </si>
  <si>
    <t>SIGMACRYL SG, COLOR-APS 9401, P/N-0844, PACKING SIZE:15 LTR</t>
  </si>
  <si>
    <t>MEISTER TILE ADHESIVE 801/ BAG 50KG</t>
  </si>
  <si>
    <t>SIGM ACRYLIC PRIMER PRODUCT CODE:0852, COLOR:WHITE, PACKING:DRUM 15LTR</t>
  </si>
  <si>
    <t>SPRAY PLASTER PRODUCT CODE:0810, COLOR:WHITE, PACKING/DRUM 35KG</t>
  </si>
  <si>
    <t>MEISTER FINETILE GROUT CODE: F10, COLOR: WHITE PACKING: 20KG BAG</t>
  </si>
  <si>
    <t>Pest Control</t>
  </si>
  <si>
    <t>مكافحة الحشرات</t>
  </si>
  <si>
    <t>Super Raslan Material</t>
  </si>
  <si>
    <t>Biflex Material</t>
  </si>
  <si>
    <t>31</t>
  </si>
  <si>
    <t>Erosion and Sedimentation Controls</t>
  </si>
  <si>
    <t>نايلون شيت</t>
  </si>
  <si>
    <t>Nylon Sheets</t>
  </si>
  <si>
    <t>50 micron</t>
  </si>
  <si>
    <t>100 micron</t>
  </si>
  <si>
    <t>150 micron</t>
  </si>
  <si>
    <t>200 micron</t>
  </si>
  <si>
    <t>250 micron</t>
  </si>
  <si>
    <t>300 micron</t>
  </si>
  <si>
    <t>350 micron</t>
  </si>
  <si>
    <t>400 micron</t>
  </si>
  <si>
    <t>450 micron</t>
  </si>
  <si>
    <t>32</t>
  </si>
  <si>
    <t>Unit Pavers</t>
  </si>
  <si>
    <t>انترلوك</t>
  </si>
  <si>
    <t>Interlock Pavers</t>
  </si>
  <si>
    <t>انترلوك مقاس 6 سم 10X سم</t>
  </si>
  <si>
    <t>Interlock Size 6 cm x 10 cm</t>
  </si>
  <si>
    <t>40</t>
  </si>
  <si>
    <t>Process Equipment</t>
  </si>
  <si>
    <t>المعدات</t>
  </si>
  <si>
    <t>مولد كهرباء مقاس 13500</t>
  </si>
  <si>
    <t>Generator 13500</t>
  </si>
  <si>
    <t>اصلاح هزاز</t>
  </si>
  <si>
    <t>Vibrator Repair</t>
  </si>
  <si>
    <t>تنايه</t>
  </si>
  <si>
    <t>Bending Machine</t>
  </si>
  <si>
    <t>تنايه حديد كورى 25مم</t>
  </si>
  <si>
    <t>Korean Iron Bending Machine 25 mm</t>
  </si>
  <si>
    <t>بوب كات</t>
  </si>
  <si>
    <t>Bobcat</t>
  </si>
  <si>
    <t>كرين</t>
  </si>
  <si>
    <t>Crane</t>
  </si>
  <si>
    <t>سيارة نقل</t>
  </si>
  <si>
    <t>Truck</t>
  </si>
  <si>
    <t>سيارة مخلفات</t>
  </si>
  <si>
    <t>Waste Truck</t>
  </si>
  <si>
    <t>رافعة (شوكة)</t>
  </si>
  <si>
    <t>Forklift</t>
  </si>
  <si>
    <t>كباش</t>
  </si>
  <si>
    <t>Pliers</t>
  </si>
  <si>
    <t>زيت مولد 250مم</t>
  </si>
  <si>
    <t>Generator Oil 250 mm</t>
  </si>
  <si>
    <t>41</t>
  </si>
  <si>
    <t>Chemical Processing Equipment</t>
  </si>
  <si>
    <t>مواد بناء ومواد اخرى</t>
  </si>
  <si>
    <t>Building Materials and Others</t>
  </si>
  <si>
    <t>ماده تزريع هيلتى المانى 500مم</t>
  </si>
  <si>
    <t>German Anchor Material 500 mm</t>
  </si>
  <si>
    <t>بنطه تخريم 16مم</t>
  </si>
  <si>
    <t>Drilling Bit 16 mm</t>
  </si>
  <si>
    <t>ماده تزريع</t>
  </si>
  <si>
    <t>Anchor Material</t>
  </si>
  <si>
    <t>Iron Anchor Material</t>
  </si>
  <si>
    <t>بنطه خرسانه</t>
  </si>
  <si>
    <t>Concrete Bit</t>
  </si>
  <si>
    <t>اسطوانه قطعيه</t>
  </si>
  <si>
    <t>Cutting Wheel</t>
  </si>
  <si>
    <t>زنك رنش 2.5 لتر</t>
  </si>
  <si>
    <t>Zinc Rich 2.5 liter</t>
  </si>
  <si>
    <t>ترميم خرسانه SE 20 K.g</t>
  </si>
  <si>
    <t>Concrete Repair SE 20 kg</t>
  </si>
  <si>
    <t>اسطوانه قطعيه 9 انش</t>
  </si>
  <si>
    <t>Cutting Wheel 9 inch</t>
  </si>
  <si>
    <t>شنمبر لاعمال النجاره</t>
  </si>
  <si>
    <t>Carpenter Clamp</t>
  </si>
  <si>
    <t>ماسوره تاى رود بلاستيك</t>
  </si>
  <si>
    <t>Plastic Tie Rod Pipe</t>
  </si>
  <si>
    <t>لفف سلك مسامير</t>
  </si>
  <si>
    <t>Nail Wire Roll</t>
  </si>
  <si>
    <t>كرتونه مسمار عادى</t>
  </si>
  <si>
    <t>Ordinary Nail Carton</t>
  </si>
  <si>
    <t>كرتونه مسمار صلب</t>
  </si>
  <si>
    <t>Hard Nail Carton</t>
  </si>
  <si>
    <t>بنزين</t>
  </si>
  <si>
    <t>Gasoline</t>
  </si>
  <si>
    <t>كرتونه مسمار 6سم</t>
  </si>
  <si>
    <t>Nail Carton 6 cm</t>
  </si>
  <si>
    <t>بنطه تخريم 18مم</t>
  </si>
  <si>
    <t>Drilling Bit 18 mm</t>
  </si>
  <si>
    <t>Anchor Material Soma R:X</t>
  </si>
  <si>
    <t>22</t>
  </si>
  <si>
    <t>ملازم 1.2م</t>
  </si>
  <si>
    <t>Binding 1.2 m</t>
  </si>
  <si>
    <t>23</t>
  </si>
  <si>
    <t>ملازم 80سم</t>
  </si>
  <si>
    <t>Binding 80 cm</t>
  </si>
  <si>
    <t>كزلك قدم</t>
  </si>
  <si>
    <t>Foot Lever</t>
  </si>
  <si>
    <t>شوكه سحب خرسانه</t>
  </si>
  <si>
    <t>Concrete Pulling Fork</t>
  </si>
  <si>
    <t>26</t>
  </si>
  <si>
    <t>شيول</t>
  </si>
  <si>
    <t>Shovel</t>
  </si>
  <si>
    <t>27</t>
  </si>
  <si>
    <t>منشار كهرباء</t>
  </si>
  <si>
    <t>Electric Saw</t>
  </si>
  <si>
    <t>28</t>
  </si>
  <si>
    <t>دريل</t>
  </si>
  <si>
    <t>Drill</t>
  </si>
  <si>
    <t>29</t>
  </si>
  <si>
    <t>مكنه زراجين</t>
  </si>
  <si>
    <t>Fastening Machine</t>
  </si>
  <si>
    <t>جلافز</t>
  </si>
  <si>
    <t>Gloves</t>
  </si>
  <si>
    <t>ميزان خرطوم</t>
  </si>
  <si>
    <t>Hose Level</t>
  </si>
  <si>
    <t>ورده زرجينه</t>
  </si>
  <si>
    <t>Fastening Rose</t>
  </si>
  <si>
    <t>33</t>
  </si>
  <si>
    <t>عصفوره زرجينه</t>
  </si>
  <si>
    <t>Fastening Bird</t>
  </si>
  <si>
    <t>34</t>
  </si>
  <si>
    <t>ميزان مياه</t>
  </si>
  <si>
    <t>Water Level</t>
  </si>
  <si>
    <t>35</t>
  </si>
  <si>
    <t>بنطه خشب ريشه</t>
  </si>
  <si>
    <t>Wood Feather Bit</t>
  </si>
  <si>
    <t>36</t>
  </si>
  <si>
    <t>ورد مسامير + طلقات مسمار</t>
  </si>
  <si>
    <t>Nail Rose + Nail Cartridges</t>
  </si>
  <si>
    <t>37</t>
  </si>
  <si>
    <t>بنطه تخريم 25 مم</t>
  </si>
  <si>
    <t>Drilling Bit 25 mm</t>
  </si>
  <si>
    <t>38</t>
  </si>
  <si>
    <t>خرطوم تايرود</t>
  </si>
  <si>
    <t>Tie Rod Hose</t>
  </si>
  <si>
    <t>كوريك</t>
  </si>
  <si>
    <t>Car Jack</t>
  </si>
  <si>
    <t>بنطه خشب 32</t>
  </si>
  <si>
    <t>Wood Bit 32</t>
  </si>
  <si>
    <t>اسطوانه صاروخ خرسانه 5 بوصه</t>
  </si>
  <si>
    <t>Concrete Rocket Cylinder 5 inch</t>
  </si>
  <si>
    <t>42</t>
  </si>
  <si>
    <t>زيت</t>
  </si>
  <si>
    <t>Oil</t>
  </si>
  <si>
    <t>43</t>
  </si>
  <si>
    <t>كرتونه مسمار 7 سم</t>
  </si>
  <si>
    <t>Nail Carton 7 cm</t>
  </si>
  <si>
    <t>44</t>
  </si>
  <si>
    <t>Thread 6 cm</t>
  </si>
  <si>
    <t>45</t>
  </si>
  <si>
    <t>بنطه حدادى 6مم</t>
  </si>
  <si>
    <t>Iron Bit 6 mm</t>
  </si>
  <si>
    <t>46</t>
  </si>
  <si>
    <t>تربال</t>
  </si>
  <si>
    <t>Leveling Tool</t>
  </si>
  <si>
    <t>47</t>
  </si>
  <si>
    <t>بنطه تزريع 12 مم</t>
  </si>
  <si>
    <t>Anchor Bit 12 mm</t>
  </si>
  <si>
    <t>48</t>
  </si>
  <si>
    <t>سطل</t>
  </si>
  <si>
    <t>Bucket</t>
  </si>
  <si>
    <t>49</t>
  </si>
  <si>
    <t>مسطرين</t>
  </si>
  <si>
    <t>Trowel</t>
  </si>
  <si>
    <t>ديزل</t>
  </si>
  <si>
    <t>Diesel</t>
  </si>
  <si>
    <t>51</t>
  </si>
  <si>
    <t>شريط تحذير</t>
  </si>
  <si>
    <t>Warning Tape</t>
  </si>
  <si>
    <t>52</t>
  </si>
  <si>
    <t>متر قياس</t>
  </si>
  <si>
    <t>Measuring Tape</t>
  </si>
  <si>
    <t>53</t>
  </si>
  <si>
    <t>تيب رمادى</t>
  </si>
  <si>
    <t>Gray Tape</t>
  </si>
  <si>
    <t>54</t>
  </si>
  <si>
    <t>56</t>
  </si>
  <si>
    <t>تيب ابيض</t>
  </si>
  <si>
    <t>White Tape</t>
  </si>
  <si>
    <t>Common Work Results for Electrical</t>
  </si>
  <si>
    <t>مواد كهرباء</t>
  </si>
  <si>
    <t>Electrical Materials</t>
  </si>
  <si>
    <t>ماسوره م 32</t>
  </si>
  <si>
    <t>كشاف ليد 400 وات</t>
  </si>
  <si>
    <t>LED Floodlight 400W</t>
  </si>
  <si>
    <t>ماسوره كهرباء 3م</t>
  </si>
  <si>
    <t>Electrical Conduit 3m</t>
  </si>
  <si>
    <t>قلم ماركر</t>
  </si>
  <si>
    <t>Marker Pen</t>
  </si>
  <si>
    <t>اسبريه</t>
  </si>
  <si>
    <t>Wire Ties/Cable Ties</t>
  </si>
  <si>
    <t>بوكس 7 * 10</t>
  </si>
  <si>
    <t>Junction Box 7x10 cm</t>
  </si>
  <si>
    <t>صاموله 12 م</t>
  </si>
  <si>
    <t>Nut 12 mm</t>
  </si>
  <si>
    <t>ورده 12 م</t>
  </si>
  <si>
    <t>Washer 12 mm</t>
  </si>
  <si>
    <t>Screw/Nail 27 mm</t>
  </si>
  <si>
    <t>Common Work Results for Plumbing</t>
  </si>
  <si>
    <t>مواد ميكانيكا</t>
  </si>
  <si>
    <t>Plumbing Materials</t>
  </si>
  <si>
    <t>ماسوره 160 مم كلاس 3 UPVC رمادى</t>
  </si>
  <si>
    <t>UPVC Pipe 160 mm Class 3 Gray</t>
  </si>
  <si>
    <t>Pipe 32 mm</t>
  </si>
  <si>
    <t>كوع ريحه بى فى سى 4 بوصه</t>
  </si>
  <si>
    <t>PVC Vent Elbow 4 inch</t>
  </si>
  <si>
    <t>ماسوره 110 مم كلاس 3 UPVC</t>
  </si>
  <si>
    <t>UPVC Pipe 110 mm Class 3</t>
  </si>
  <si>
    <t>ماسوره بى فى سى 4 بوصه جدول 40</t>
  </si>
  <si>
    <t>PVC Pipe 4 inch Schedule 40</t>
  </si>
  <si>
    <t>سده بى فى سى 2 بوصه جدول 40</t>
  </si>
  <si>
    <t>PVC Cap 2 inch Schedule 40</t>
  </si>
  <si>
    <t>ماسوره 3" بى فى سى SCH 40</t>
  </si>
  <si>
    <t>PVC Pipe 3 inch Schedule 40</t>
  </si>
  <si>
    <t>كوع زاويه بى فى سى 2 بوصه جدول 40</t>
  </si>
  <si>
    <t>PVC Angle Elbow 2 inch Schedule 40</t>
  </si>
  <si>
    <t>كوع فاتح بى فى سى 2 بوصه جدول 40</t>
  </si>
  <si>
    <t>PVC Cleanout Elbow 2 inch Schedule 40</t>
  </si>
  <si>
    <t>كوع فاتح بى فى سى 1 بوصه جدول 40</t>
  </si>
  <si>
    <t>PVC Cleanout Elbow 1 inch Schedule 40</t>
  </si>
  <si>
    <t>كوع لحام 25</t>
  </si>
  <si>
    <t>Welding Elbow 25 mm</t>
  </si>
  <si>
    <t>كوع لحام 32</t>
  </si>
  <si>
    <t>Welding Elbow 32 mm</t>
  </si>
  <si>
    <t>مسلوب 32*25</t>
  </si>
  <si>
    <t>Reducer 32x25 mm</t>
  </si>
  <si>
    <t>مشترك 50 لحام</t>
  </si>
  <si>
    <t>Welding Coupling 50 mm</t>
  </si>
  <si>
    <t>مشترك مسلوب 50/25</t>
  </si>
  <si>
    <t>Reducing Coupling 50/25 mm</t>
  </si>
  <si>
    <t>ماسوره 50</t>
  </si>
  <si>
    <t>Pipe 50 mm</t>
  </si>
  <si>
    <t>ماسوره 25</t>
  </si>
  <si>
    <t>Pipe 25 mm</t>
  </si>
  <si>
    <t>محبس 50 بليه مزود ب 2 لاكور قلب ولواكير نحاس</t>
  </si>
  <si>
    <t>Ball Valve 50 mm with 2 Brass Cores and Washers</t>
  </si>
  <si>
    <t>تفلون</t>
  </si>
  <si>
    <t>Teflon Tape</t>
  </si>
  <si>
    <t>كوع ريحه 3" بى فى سى SCH 40</t>
  </si>
  <si>
    <t>PVC Vent Elbow 3 inch Schedule 40</t>
  </si>
  <si>
    <t>ماسوره 75 مم كلاس 3 UPVC</t>
  </si>
  <si>
    <t>UPVC Pipe 75 mm Class 3</t>
  </si>
  <si>
    <t>غراء</t>
  </si>
  <si>
    <t>PVC Glue</t>
  </si>
  <si>
    <t>نقاص 4/3</t>
  </si>
  <si>
    <t>Reducer 4/3 inch</t>
  </si>
  <si>
    <t>جلبه 4" بى فى سى SCH 40</t>
  </si>
  <si>
    <t>PVC Coupling 4 inch Schedule 40</t>
  </si>
  <si>
    <t>سده 3" بى فى سى SCH 40</t>
  </si>
  <si>
    <t>PVC Cap 3 inch Schedule 40</t>
  </si>
  <si>
    <t>سده بى فى سى 4 بوصه جدول 40</t>
  </si>
  <si>
    <t>PVC Cap 4 inch Schedule 40</t>
  </si>
  <si>
    <t>منظف</t>
  </si>
  <si>
    <t>PVC Cleaner</t>
  </si>
  <si>
    <t>كوع 75 / 90</t>
  </si>
  <si>
    <t>Elbow 75/90 degrees</t>
  </si>
  <si>
    <t>كوع فاتح بى فى سى 4 بوصه جدول 40</t>
  </si>
  <si>
    <t>PVC Cleanout Elbow 4 inch Schedule 40</t>
  </si>
  <si>
    <t>كوع فاتح 3" SCH 40</t>
  </si>
  <si>
    <t>Cleanout Elbow 3 inch Schedule 40</t>
  </si>
  <si>
    <t>ماسوره بى فى سى 2 بوصه جدول 40</t>
  </si>
  <si>
    <t>PVC Pipe 2 inch Schedule 40</t>
  </si>
  <si>
    <t>مشترك تى نقاص 4*2 بوصه بى فى سى جدول 40</t>
  </si>
  <si>
    <t>PVC Reducing Tee 4x2 inch Schedule 40</t>
  </si>
  <si>
    <t>جلبه بى فى سى 2" SCH 40</t>
  </si>
  <si>
    <t>PVC Coupling 2 inch Schedule 40</t>
  </si>
  <si>
    <t>جلبه بى فى سى 3" SCH 40</t>
  </si>
  <si>
    <t>PVC Coupling 3 inch Schedule 40</t>
  </si>
  <si>
    <t>مشترك لحام 25</t>
  </si>
  <si>
    <t>3 SIDED Welding Coupling 25 mm</t>
  </si>
  <si>
    <t>ماسوره بى فى سى 1 بوصه جدول 4</t>
  </si>
  <si>
    <t>PVC Pipe 1 inch Schedule 4</t>
  </si>
  <si>
    <t>كرنك لحام 25</t>
  </si>
  <si>
    <t>ماسوره PPR اخضر</t>
  </si>
  <si>
    <t>PPR Pipe Green</t>
  </si>
  <si>
    <t>قفيز لطش 50</t>
  </si>
  <si>
    <t>Expansion Joint 50 mm</t>
  </si>
  <si>
    <t>قفيز ربر 32م</t>
  </si>
  <si>
    <t>Rubber Gasket 32 mm</t>
  </si>
  <si>
    <t>قفيز ربر 25</t>
  </si>
  <si>
    <t>Rubber Gasket 25 mm</t>
  </si>
  <si>
    <t>كوع مسلوب 90 بسن داخلى 25/20</t>
  </si>
  <si>
    <t>Reducing Elbow 90 with Internal Thread 25/20 mm</t>
  </si>
  <si>
    <t>مشترك سن داخلى 25/20</t>
  </si>
  <si>
    <t>Internal Thread Coupling 25/20 mm</t>
  </si>
  <si>
    <t>مشترك 32</t>
  </si>
  <si>
    <t>Coupling 32 mm</t>
  </si>
  <si>
    <t>محبس دفن 25</t>
  </si>
  <si>
    <t>Buried Valve 25 mm</t>
  </si>
  <si>
    <t>طبه اختبار 20مم</t>
  </si>
  <si>
    <t>Test Cap 20 mm</t>
  </si>
  <si>
    <t>جلبه 25 لحام</t>
  </si>
  <si>
    <t>2 SIDED Welding Coupling 25 mm</t>
  </si>
  <si>
    <t>ماسوره بى فى سى 6" SCH 20</t>
  </si>
  <si>
    <t>PVC Pipe 6 inch Schedule 20</t>
  </si>
  <si>
    <t>ماسوره 6" HDPE</t>
  </si>
  <si>
    <t>HDPE Pipe 6 inch</t>
  </si>
  <si>
    <t>فلانشه 6" HDPE</t>
  </si>
  <si>
    <t>HDPE Flange 6 inch</t>
  </si>
  <si>
    <t>فلانشه ادبتور 6" HDPE</t>
  </si>
  <si>
    <t>HDPE Adapter Flange 6 inch</t>
  </si>
  <si>
    <t>55</t>
  </si>
  <si>
    <t>طبه فلانشه حديد</t>
  </si>
  <si>
    <t>Iron Flange Cap</t>
  </si>
  <si>
    <t>سده 6" HDPE</t>
  </si>
  <si>
    <t>HDPE Cap 6 inch</t>
  </si>
  <si>
    <t>57</t>
  </si>
  <si>
    <t>محبس نحاس 1"</t>
  </si>
  <si>
    <t>Copper Valve 1 inch</t>
  </si>
  <si>
    <t>58</t>
  </si>
  <si>
    <t>كوع 6" HDPE</t>
  </si>
  <si>
    <t>HDPE Elbow 6 inch</t>
  </si>
  <si>
    <t>59</t>
  </si>
  <si>
    <t>مشترك 6" HDPE</t>
  </si>
  <si>
    <t>HDPE Coupling 6 inch</t>
  </si>
  <si>
    <t>60</t>
  </si>
  <si>
    <t>مسمار 16</t>
  </si>
  <si>
    <t>Screw/Bolt 16 mm</t>
  </si>
  <si>
    <t>61</t>
  </si>
  <si>
    <t>جوان فلانشه 6"</t>
  </si>
  <si>
    <t>Flange Gasket 6 inch</t>
  </si>
  <si>
    <t>62</t>
  </si>
  <si>
    <t>كوع 90 - 25</t>
  </si>
  <si>
    <t>Elbow 90 - 25 mm</t>
  </si>
  <si>
    <t>63</t>
  </si>
  <si>
    <t>ميزان خلاط 25</t>
  </si>
  <si>
    <t>Mixing Valve 25 mm</t>
  </si>
  <si>
    <t>64</t>
  </si>
  <si>
    <t>اكمون 10 مم</t>
  </si>
  <si>
    <t>Union 10 mm</t>
  </si>
  <si>
    <t>65</t>
  </si>
  <si>
    <t>ورده 10 م</t>
  </si>
  <si>
    <t>Washer 10 mm</t>
  </si>
  <si>
    <t>66</t>
  </si>
  <si>
    <t>صاموله 10 م</t>
  </si>
  <si>
    <t>Nut 10 mm</t>
  </si>
  <si>
    <t>67</t>
  </si>
  <si>
    <t>مسلوب لحام 50*32</t>
  </si>
  <si>
    <t>Welding Reducer 50x32 mm</t>
  </si>
  <si>
    <t>68</t>
  </si>
  <si>
    <t>تيش 10مم - 2م</t>
  </si>
  <si>
    <t>T-connection 10 mm - 2 m</t>
  </si>
  <si>
    <t>69</t>
  </si>
  <si>
    <t>سده بى فى سى 1 بوصه جدول 40</t>
  </si>
  <si>
    <t>PVC Cap 1 inch Schedule 40</t>
  </si>
  <si>
    <t>قفيز ربر 4 بوصه</t>
  </si>
  <si>
    <t>Rubber Gasket 4 inch</t>
  </si>
  <si>
    <t>71</t>
  </si>
  <si>
    <t>ميزان مياه 30سم</t>
  </si>
  <si>
    <t>Water Level 30 cm</t>
  </si>
  <si>
    <t>72</t>
  </si>
  <si>
    <t>قفيز ربر 2.5"</t>
  </si>
  <si>
    <t>Rubber Gasket 2.5 inch</t>
  </si>
  <si>
    <t>73</t>
  </si>
  <si>
    <t>مشترك واى بى فى سى 4 بوصه جدول 40</t>
  </si>
  <si>
    <t>PVC Wye 4 inch Schedule 40</t>
  </si>
  <si>
    <t>74</t>
  </si>
  <si>
    <t>كلين اوت بى فى سى 4 بوصه</t>
  </si>
  <si>
    <t>PVC Cleanout 4 inch</t>
  </si>
  <si>
    <t>75</t>
  </si>
  <si>
    <t>قفيز ربر 3"</t>
  </si>
  <si>
    <t>Rubber Gasket 3 inch</t>
  </si>
  <si>
    <t>76</t>
  </si>
  <si>
    <t>مشترك واى 2 بوصه جدول 40</t>
  </si>
  <si>
    <t>Wye 2 inch Schedule 40</t>
  </si>
  <si>
    <t>77</t>
  </si>
  <si>
    <t>ورده 16 مم</t>
  </si>
  <si>
    <t>Washer 16 mm</t>
  </si>
  <si>
    <t>78</t>
  </si>
  <si>
    <t>صاموله 16 مم</t>
  </si>
  <si>
    <t>Nut 16 mm</t>
  </si>
  <si>
    <t>79</t>
  </si>
  <si>
    <t>قفيز ربر 75 مم</t>
  </si>
  <si>
    <t>Rubber Gasket 75 mm</t>
  </si>
  <si>
    <t>80</t>
  </si>
  <si>
    <t>قفيز ربر 2 بوصه</t>
  </si>
  <si>
    <t>Rubber Gasket 2 inch</t>
  </si>
  <si>
    <t>81</t>
  </si>
  <si>
    <t>كوع زاويه بى فى سى 4 بوصه جدول 40</t>
  </si>
  <si>
    <t>PVC Angle Elbow 4 inch Schedule 40</t>
  </si>
  <si>
    <t>82</t>
  </si>
  <si>
    <t>مجمع صرف 4*2*2 بى فى سى جدول 40</t>
  </si>
  <si>
    <t>PVC Drain Assembly 4x2x2 inch Schedule 40</t>
  </si>
  <si>
    <t>83</t>
  </si>
  <si>
    <t>نقاص بى فى سى 2*1 بوصه جدول 40</t>
  </si>
  <si>
    <t>PVC Reducer 2x1 inch Schedule 40</t>
  </si>
  <si>
    <t>84</t>
  </si>
  <si>
    <t>مشترك تى 1 بوصه بى فى سى جدول 40</t>
  </si>
  <si>
    <t>PVC Tee 1 inch Schedule 40</t>
  </si>
  <si>
    <t>85</t>
  </si>
  <si>
    <t>بزبوز خرطوم</t>
  </si>
  <si>
    <t>Hose Bib</t>
  </si>
  <si>
    <t>00 70 10.0101</t>
  </si>
  <si>
    <t>00 70 10.0102</t>
  </si>
  <si>
    <t>00 70 10.0103</t>
  </si>
  <si>
    <t>00 70 10.0104</t>
  </si>
  <si>
    <t>00 70 10.0105</t>
  </si>
  <si>
    <t>00 70 10.0106</t>
  </si>
  <si>
    <t>01 50 00.1001</t>
  </si>
  <si>
    <t>01 70 00.1001</t>
  </si>
  <si>
    <t>01 70 00.1002</t>
  </si>
  <si>
    <t>01 70 00.1003</t>
  </si>
  <si>
    <t>01 70 00.1004</t>
  </si>
  <si>
    <t>01 70 00.1005</t>
  </si>
  <si>
    <t>01 70 00.2001</t>
  </si>
  <si>
    <t>01 70 00.2002</t>
  </si>
  <si>
    <t>01 70 00.2003</t>
  </si>
  <si>
    <t>01 70 00.2004</t>
  </si>
  <si>
    <t>01 70 00.2005</t>
  </si>
  <si>
    <t>01 70 00.2007</t>
  </si>
  <si>
    <t>01 70 00.2008</t>
  </si>
  <si>
    <t>01 70 00.2009</t>
  </si>
  <si>
    <t>01 70 00.2010</t>
  </si>
  <si>
    <t>03 05 00.1001</t>
  </si>
  <si>
    <t>03 05 00.1002</t>
  </si>
  <si>
    <t>03 05 00.1003</t>
  </si>
  <si>
    <t>03 05 00.1004</t>
  </si>
  <si>
    <t>03 10 00.1001</t>
  </si>
  <si>
    <t>بليوود 120 سم</t>
  </si>
  <si>
    <t>03 10 00.1002</t>
  </si>
  <si>
    <t>مرابيع 7 * 7 * 3</t>
  </si>
  <si>
    <t>03 10 00.1003</t>
  </si>
  <si>
    <t>03 10 00.1004</t>
  </si>
  <si>
    <t>03 10 00.1005</t>
  </si>
  <si>
    <t>03 10 00.1006</t>
  </si>
  <si>
    <t>صاموله تايرود</t>
  </si>
  <si>
    <t>03 10 00.1007</t>
  </si>
  <si>
    <t>ورده تايرود</t>
  </si>
  <si>
    <t>03 10 00.1008</t>
  </si>
  <si>
    <t>سيخ تايرود 6 م</t>
  </si>
  <si>
    <t>03 10 00.1009</t>
  </si>
  <si>
    <t>03 10 00.1010</t>
  </si>
  <si>
    <t>03 10 00.1011</t>
  </si>
  <si>
    <t>بليوود 60 سم</t>
  </si>
  <si>
    <t>03 10 00.1012</t>
  </si>
  <si>
    <t>مرابيع 10 *10 *3</t>
  </si>
  <si>
    <t>03 10 00.1013</t>
  </si>
  <si>
    <t>لوح لاتزانه</t>
  </si>
  <si>
    <t>03 10 00.1014</t>
  </si>
  <si>
    <t>03 10 00.1015</t>
  </si>
  <si>
    <t>03 10 00.1016</t>
  </si>
  <si>
    <t>03 10 00.1017</t>
  </si>
  <si>
    <t>03 10 00.1018</t>
  </si>
  <si>
    <t>03 10 00.1019</t>
  </si>
  <si>
    <t>03 10 00.1020</t>
  </si>
  <si>
    <t>03 15 00.1001</t>
  </si>
  <si>
    <t>03 20 00.1001</t>
  </si>
  <si>
    <t>حديد 8 مم</t>
  </si>
  <si>
    <t>03 20 00.1002</t>
  </si>
  <si>
    <t>حديد 10 مم</t>
  </si>
  <si>
    <t>03 20 00.1003</t>
  </si>
  <si>
    <t>حديد 12 مم</t>
  </si>
  <si>
    <t>03 20 00.1004</t>
  </si>
  <si>
    <t>حديد 14 مم</t>
  </si>
  <si>
    <t>03 20 00.1005</t>
  </si>
  <si>
    <t>حديد 16 مم</t>
  </si>
  <si>
    <t>03 20 00.1006</t>
  </si>
  <si>
    <t>حديد 18 مم</t>
  </si>
  <si>
    <t>03 20 00.1007</t>
  </si>
  <si>
    <t>حديد 20 مم</t>
  </si>
  <si>
    <t>03 20 00.1008</t>
  </si>
  <si>
    <t>حديد 22 مم</t>
  </si>
  <si>
    <t>03 20 00.1009</t>
  </si>
  <si>
    <t>حديد 25 مم</t>
  </si>
  <si>
    <t>03 20 00.1010</t>
  </si>
  <si>
    <t>سلك رباط</t>
  </si>
  <si>
    <t>03 21 00.1001</t>
  </si>
  <si>
    <t>شبك حديد 8 مم - 2 * 5</t>
  </si>
  <si>
    <t>03 21 00.1002</t>
  </si>
  <si>
    <t>شبك حديد 8 مم - 1.5 * 4</t>
  </si>
  <si>
    <t>03 30 00.1001</t>
  </si>
  <si>
    <t>03 30 00.1002</t>
  </si>
  <si>
    <t>03 30 00.1003</t>
  </si>
  <si>
    <t>03 30 00.1004</t>
  </si>
  <si>
    <t>03 30 00.1005</t>
  </si>
  <si>
    <t>03 30 00.1006</t>
  </si>
  <si>
    <t>03 30 00.1007</t>
  </si>
  <si>
    <t>03 30 00.1008</t>
  </si>
  <si>
    <t>03 30 00.1009</t>
  </si>
  <si>
    <t>03 30 00.1010</t>
  </si>
  <si>
    <t>03 30 00.1011</t>
  </si>
  <si>
    <t>03 30 00.1012</t>
  </si>
  <si>
    <t>03 30 00.1013</t>
  </si>
  <si>
    <t>03 30 00.1014</t>
  </si>
  <si>
    <t>03 30 00.1015</t>
  </si>
  <si>
    <t>03 39 00.1001</t>
  </si>
  <si>
    <t>معالجه الخرسانه بعد الصبه / برميل</t>
  </si>
  <si>
    <t>03 39 00.1002</t>
  </si>
  <si>
    <t>معالجه الخرسانه بعد الصبه / لتر</t>
  </si>
  <si>
    <t>03 39 00.1003</t>
  </si>
  <si>
    <t>ماده معالجه ناعم / الكيس 18 كجم</t>
  </si>
  <si>
    <t>03 39 00.1004</t>
  </si>
  <si>
    <t>ماده معالجه ناعم / الكيس 25 كجم</t>
  </si>
  <si>
    <t>03 39 00.1005</t>
  </si>
  <si>
    <t>03 39 00.1006</t>
  </si>
  <si>
    <t>03 39 00.1007</t>
  </si>
  <si>
    <t>ماده معالجه خشن / الكيس 20 كجم</t>
  </si>
  <si>
    <t>04 20 00.1001</t>
  </si>
  <si>
    <t>بلوك مصمت 20 سم</t>
  </si>
  <si>
    <t>04 20 00.1002</t>
  </si>
  <si>
    <t>بلوك مصمت 10 سم</t>
  </si>
  <si>
    <t>04 20 00.1003</t>
  </si>
  <si>
    <t>بلوك معزول 25 سم</t>
  </si>
  <si>
    <t>04 20 00.1004</t>
  </si>
  <si>
    <t>بلوك معزول 20 سم</t>
  </si>
  <si>
    <t>04 20 00.1005</t>
  </si>
  <si>
    <t>بلوك عادى 20 سم</t>
  </si>
  <si>
    <t>04 20 00.1006</t>
  </si>
  <si>
    <t>بلوك عادى 15 سم</t>
  </si>
  <si>
    <t>04 20 00.1007</t>
  </si>
  <si>
    <t>بلوك عادى 10 سم</t>
  </si>
  <si>
    <t>04 20 00.1008</t>
  </si>
  <si>
    <t>بلوك على شكل حرف U للتمديدات</t>
  </si>
  <si>
    <t>04 20 00.1009</t>
  </si>
  <si>
    <t>بلوك عادى 30 سم</t>
  </si>
  <si>
    <t>04 25 00.1001</t>
  </si>
  <si>
    <t>04 25 00.1002</t>
  </si>
  <si>
    <t>04 25 00.1003</t>
  </si>
  <si>
    <t>04 25 00.1004</t>
  </si>
  <si>
    <t>04 25 00.1005</t>
  </si>
  <si>
    <t>04 25 00.1006</t>
  </si>
  <si>
    <t>04 25 00.1007</t>
  </si>
  <si>
    <t>04 25 00.1009</t>
  </si>
  <si>
    <t>علبه مسمار طلقات</t>
  </si>
  <si>
    <t>04 25 00.1010</t>
  </si>
  <si>
    <t>05 50 00.1001</t>
  </si>
  <si>
    <t>05 50 00.1002</t>
  </si>
  <si>
    <t>05 50 00.1003</t>
  </si>
  <si>
    <t>05 50 00.1004</t>
  </si>
  <si>
    <t>05 50 00.1005</t>
  </si>
  <si>
    <t>05 50 00.1006</t>
  </si>
  <si>
    <t>05 50 00.1007</t>
  </si>
  <si>
    <t>07 10 00.1001</t>
  </si>
  <si>
    <t>07 10 00.1002</t>
  </si>
  <si>
    <t>07 10 00.1003</t>
  </si>
  <si>
    <t>07 10 00.1004</t>
  </si>
  <si>
    <t>07 10 00.1005</t>
  </si>
  <si>
    <t>07 20 00.1008</t>
  </si>
  <si>
    <t>عزل بيتومين 100 كج</t>
  </si>
  <si>
    <t>07 20 00.1009</t>
  </si>
  <si>
    <t>عزل أسمنتى</t>
  </si>
  <si>
    <t>07 20 00.1010</t>
  </si>
  <si>
    <t>عزل بيتومين / 200 لتر</t>
  </si>
  <si>
    <t>09 20 00.1001</t>
  </si>
  <si>
    <t>09 20 00.1002</t>
  </si>
  <si>
    <t>09 20 00.1003</t>
  </si>
  <si>
    <t>09 20 00.1004</t>
  </si>
  <si>
    <t>09 20 00.1005</t>
  </si>
  <si>
    <t>09 20 00.1006</t>
  </si>
  <si>
    <t>09 20 00.1007</t>
  </si>
  <si>
    <t>09 20 00.1008</t>
  </si>
  <si>
    <t>09 20 00.1009</t>
  </si>
  <si>
    <t>09 20 00.1010</t>
  </si>
  <si>
    <t>09 20 00.1011</t>
  </si>
  <si>
    <t>09 24 00.1001</t>
  </si>
  <si>
    <t>زاويه لياسه داخلى 7 سم</t>
  </si>
  <si>
    <t>09 24 00.1002</t>
  </si>
  <si>
    <t>شبك لياسه معدن ( رول )</t>
  </si>
  <si>
    <t>09 24 00.1003</t>
  </si>
  <si>
    <t>09 24 00.1004</t>
  </si>
  <si>
    <t>09 24 00.1005</t>
  </si>
  <si>
    <t>09 24 00.1006</t>
  </si>
  <si>
    <t>كيس ورد لياسه / 3 كج</t>
  </si>
  <si>
    <t>09 24 00.1007</t>
  </si>
  <si>
    <t>09 24 00.1008</t>
  </si>
  <si>
    <t>09 24 00.1009</t>
  </si>
  <si>
    <t>09 30 00.1001</t>
  </si>
  <si>
    <t>09 30 00.1003</t>
  </si>
  <si>
    <t>09 90 00.1001</t>
  </si>
  <si>
    <t>سكيمو أبيض داخلى</t>
  </si>
  <si>
    <t>09 90 00.1002</t>
  </si>
  <si>
    <t>09 90 00.1003</t>
  </si>
  <si>
    <t>برايمر أبيض داخلى</t>
  </si>
  <si>
    <t>09 90 00.2001</t>
  </si>
  <si>
    <t>09 90 00.2002</t>
  </si>
  <si>
    <t>09 90 00.2003</t>
  </si>
  <si>
    <t>09 90 00.2004</t>
  </si>
  <si>
    <t>09 90 00.2005</t>
  </si>
  <si>
    <t>09 90 00.2006</t>
  </si>
  <si>
    <t>09 90 00.2007</t>
  </si>
  <si>
    <t>09 90 00.2008</t>
  </si>
  <si>
    <t>10 70 00.1001</t>
  </si>
  <si>
    <t>مادة رش النمل</t>
  </si>
  <si>
    <t>10 70 00.1002</t>
  </si>
  <si>
    <t>31 25 00.1001</t>
  </si>
  <si>
    <t>31 25 00.1002</t>
  </si>
  <si>
    <t>31 25 00.1003</t>
  </si>
  <si>
    <t>31 25 00.1004</t>
  </si>
  <si>
    <t>31 25 00.1005</t>
  </si>
  <si>
    <t>31 25 00.1006</t>
  </si>
  <si>
    <t>31 25 00.1007</t>
  </si>
  <si>
    <t>31 25 00.1008</t>
  </si>
  <si>
    <t>31 25 00.1009</t>
  </si>
  <si>
    <t>32 14 00.1001</t>
  </si>
  <si>
    <t>40 10 00.1001</t>
  </si>
  <si>
    <t>40 10 00.1002</t>
  </si>
  <si>
    <t>40 10 00.1003</t>
  </si>
  <si>
    <t>40 10 00.1004</t>
  </si>
  <si>
    <t>40 10 00.1006</t>
  </si>
  <si>
    <t>40 10 00.1007</t>
  </si>
  <si>
    <t>40 10 00.1008</t>
  </si>
  <si>
    <t>40 10 00.1009</t>
  </si>
  <si>
    <t>40 10 00.1010</t>
  </si>
  <si>
    <t>40 10 00.1011</t>
  </si>
  <si>
    <t>40 10 00.1012</t>
  </si>
  <si>
    <t>41 10 00.1001</t>
  </si>
  <si>
    <t>41 10 00.1003</t>
  </si>
  <si>
    <t>41 10 00.1004</t>
  </si>
  <si>
    <t>41 10 00.1005</t>
  </si>
  <si>
    <t>41 10 00.1006</t>
  </si>
  <si>
    <t>41 10 00.1007</t>
  </si>
  <si>
    <t>41 10 00.1008</t>
  </si>
  <si>
    <t>41 10 00.1009</t>
  </si>
  <si>
    <t>41 10 00.1010</t>
  </si>
  <si>
    <t>41 10 00.1011</t>
  </si>
  <si>
    <t>41 10 00.1012</t>
  </si>
  <si>
    <t>41 10 00.1014</t>
  </si>
  <si>
    <t>41 10 00.1015</t>
  </si>
  <si>
    <t>41 10 00.1016</t>
  </si>
  <si>
    <t>41 10 00.1018</t>
  </si>
  <si>
    <t>41 10 00.1019</t>
  </si>
  <si>
    <t>41 10 00.1020</t>
  </si>
  <si>
    <t>41 10 00.1022</t>
  </si>
  <si>
    <t>41 10 00.1023</t>
  </si>
  <si>
    <t>41 10 00.1024</t>
  </si>
  <si>
    <t>41 10 00.1025</t>
  </si>
  <si>
    <t>41 10 00.1026</t>
  </si>
  <si>
    <t>41 10 00.1027</t>
  </si>
  <si>
    <t>41 10 00.1028</t>
  </si>
  <si>
    <t>41 10 00.1029</t>
  </si>
  <si>
    <t>41 10 00.1030</t>
  </si>
  <si>
    <t>41 10 00.1031</t>
  </si>
  <si>
    <t>41 10 00.1032</t>
  </si>
  <si>
    <t>41 10 00.1033</t>
  </si>
  <si>
    <t>41 10 00.1034</t>
  </si>
  <si>
    <t>41 10 00.1035</t>
  </si>
  <si>
    <t>41 10 00.1036</t>
  </si>
  <si>
    <t>41 10 00.1037</t>
  </si>
  <si>
    <t>41 10 00.1038</t>
  </si>
  <si>
    <t>41 10 00.1039</t>
  </si>
  <si>
    <t>41 10 00.1040</t>
  </si>
  <si>
    <t>41 10 00.1041</t>
  </si>
  <si>
    <t>41 10 00.1042</t>
  </si>
  <si>
    <t>41 10 00.1043</t>
  </si>
  <si>
    <t>41 10 00.1044</t>
  </si>
  <si>
    <t>41 10 00.1045</t>
  </si>
  <si>
    <t>41 10 00.1046</t>
  </si>
  <si>
    <t>41 10 00.1047</t>
  </si>
  <si>
    <t>41 10 00.1048</t>
  </si>
  <si>
    <t>41 10 00.1049</t>
  </si>
  <si>
    <t>41 10 00.1050</t>
  </si>
  <si>
    <t>41 10 00.1051</t>
  </si>
  <si>
    <t>41 10 00.1052</t>
  </si>
  <si>
    <t>41 10 00.1053</t>
  </si>
  <si>
    <t>41 10 00.1056</t>
  </si>
  <si>
    <t>26 05 00.1001</t>
  </si>
  <si>
    <t>26 05 00.1002</t>
  </si>
  <si>
    <t>26 05 00.1003</t>
  </si>
  <si>
    <t>ادابتور بلاستيك 32 مم</t>
  </si>
  <si>
    <t>26 05 00.1004</t>
  </si>
  <si>
    <t>ادابتور بلاستيك 50 مم</t>
  </si>
  <si>
    <t>26 05 00.1005</t>
  </si>
  <si>
    <t>26 05 00.1006</t>
  </si>
  <si>
    <t>26 05 00.1007</t>
  </si>
  <si>
    <t>جلبة مقاس 32 مم2</t>
  </si>
  <si>
    <t>26 05 00.1008</t>
  </si>
  <si>
    <t>26 05 00.1009</t>
  </si>
  <si>
    <t>26 05 00.1010</t>
  </si>
  <si>
    <t>26 05 00.1012</t>
  </si>
  <si>
    <t>26 05 00.1015</t>
  </si>
  <si>
    <t xml:space="preserve"> لفة خرطوم مقاس 16</t>
  </si>
  <si>
    <t>26 05 00.1016</t>
  </si>
  <si>
    <t>لفة خرطوم مقاس 23</t>
  </si>
  <si>
    <t>26 05 00.1018</t>
  </si>
  <si>
    <t>كابل نحاس ثرموبلاستيك 3*2.5 مم2</t>
  </si>
  <si>
    <t>26 05 00.1019</t>
  </si>
  <si>
    <t>جلبة مقاس 75 مم2</t>
  </si>
  <si>
    <t>26 05 00.1020</t>
  </si>
  <si>
    <t>26 05 00.1021</t>
  </si>
  <si>
    <t>بوكس معدن مقاس (10X10X3.5) CM</t>
  </si>
  <si>
    <t>26 05 00.1022</t>
  </si>
  <si>
    <t>كوع زاوية 45 مقاس 75 مم2</t>
  </si>
  <si>
    <t>26 05 00.1023</t>
  </si>
  <si>
    <t>جلبة مقاس 50 مم2</t>
  </si>
  <si>
    <t>26 05 00.1024</t>
  </si>
  <si>
    <t>كوع زاوية 90 مقاس 50 مم2</t>
  </si>
  <si>
    <t>26 05 00.1025</t>
  </si>
  <si>
    <t>كوع زاوية 45 مقاس 50 مم2</t>
  </si>
  <si>
    <t>26 05 00.1026</t>
  </si>
  <si>
    <t>كوع زاوية 90 مقاس 32 مم2</t>
  </si>
  <si>
    <t>26 05 00.1027</t>
  </si>
  <si>
    <t>كوع زاوية 45 مقاس 32 مم2</t>
  </si>
  <si>
    <t>26 05 00.1028</t>
  </si>
  <si>
    <t>ادابتور بلاستيك 20 مم</t>
  </si>
  <si>
    <t>26 05 00.1029</t>
  </si>
  <si>
    <t>ادابتور بلاستيك 25 مم</t>
  </si>
  <si>
    <t>26 05 00.1034</t>
  </si>
  <si>
    <t>كوع زاوية 90 مقاس 75 مم2</t>
  </si>
  <si>
    <t>26 05 00.1036</t>
  </si>
  <si>
    <t>26 05 00.1038</t>
  </si>
  <si>
    <t>26 05 00.1039</t>
  </si>
  <si>
    <t>26 05 00.1042</t>
  </si>
  <si>
    <t>لفة فليكسبل بلاستيك مقاس مم 25</t>
  </si>
  <si>
    <t>26 05 00.1043</t>
  </si>
  <si>
    <t>26 05 00.1044</t>
  </si>
  <si>
    <t>كابل نحاس عاري 120 مم2</t>
  </si>
  <si>
    <t>26 05 00.1045</t>
  </si>
  <si>
    <t>بوكس معدن مقاس (5X10X4.7) CM</t>
  </si>
  <si>
    <t>26 05 00.1046</t>
  </si>
  <si>
    <t>بوكس معدن مقاس (20X20X10) CM</t>
  </si>
  <si>
    <t>26 05 00.1047</t>
  </si>
  <si>
    <t>بوكس معدن مقاس (20X20X5.5) CM</t>
  </si>
  <si>
    <t>26 05 00.1048</t>
  </si>
  <si>
    <t>مسمار  م 27</t>
  </si>
  <si>
    <t>26 05 00.1050</t>
  </si>
  <si>
    <t>لوحة كهرباء 24 خط</t>
  </si>
  <si>
    <t>26 05 00.1051</t>
  </si>
  <si>
    <t>22 05 00.1003</t>
  </si>
  <si>
    <t>22 05 00.1004</t>
  </si>
  <si>
    <t>22 05 00.1005</t>
  </si>
  <si>
    <t>22 05 00.1006</t>
  </si>
  <si>
    <t>22 05 00.1007</t>
  </si>
  <si>
    <t>22 05 00.1008</t>
  </si>
  <si>
    <t>22 05 00.1009</t>
  </si>
  <si>
    <t>22 05 00.1010</t>
  </si>
  <si>
    <t>22 05 00.1011</t>
  </si>
  <si>
    <t>22 05 00.1012</t>
  </si>
  <si>
    <t>22 05 00.1013</t>
  </si>
  <si>
    <t>22 05 00.1014</t>
  </si>
  <si>
    <t>22 05 00.1015</t>
  </si>
  <si>
    <t>22 05 00.1016</t>
  </si>
  <si>
    <t>22 05 00.1017</t>
  </si>
  <si>
    <t>22 05 00.1018</t>
  </si>
  <si>
    <t>22 05 00.1019</t>
  </si>
  <si>
    <t>22 05 00.1020</t>
  </si>
  <si>
    <t>22 05 00.1021</t>
  </si>
  <si>
    <t>22 05 00.1022</t>
  </si>
  <si>
    <t>22 05 00.1023</t>
  </si>
  <si>
    <t>22 05 00.1024</t>
  </si>
  <si>
    <t>22 05 00.1025</t>
  </si>
  <si>
    <t>22 05 00.1026</t>
  </si>
  <si>
    <t>22 05 00.1027</t>
  </si>
  <si>
    <t>22 05 00.1028</t>
  </si>
  <si>
    <t>22 05 00.1029</t>
  </si>
  <si>
    <t>22 05 00.1030</t>
  </si>
  <si>
    <t>22 05 00.1031</t>
  </si>
  <si>
    <t>22 05 00.1032</t>
  </si>
  <si>
    <t>22 05 00.1033</t>
  </si>
  <si>
    <t>22 05 00.1034</t>
  </si>
  <si>
    <t>22 05 00.1036</t>
  </si>
  <si>
    <t>22 05 00.1037</t>
  </si>
  <si>
    <t>22 05 00.1038</t>
  </si>
  <si>
    <t>22 05 00.1039</t>
  </si>
  <si>
    <t>22 05 00.1040</t>
  </si>
  <si>
    <t>22 05 00.1041</t>
  </si>
  <si>
    <t>22 05 00.1042</t>
  </si>
  <si>
    <t>22 05 00.1043</t>
  </si>
  <si>
    <t>22 05 00.1044</t>
  </si>
  <si>
    <t>22 05 00.1045</t>
  </si>
  <si>
    <t>22 05 00.1046</t>
  </si>
  <si>
    <t>22 05 00.1047</t>
  </si>
  <si>
    <t>22 05 00.1048</t>
  </si>
  <si>
    <t>22 05 00.1049</t>
  </si>
  <si>
    <t>22 05 00.1050</t>
  </si>
  <si>
    <t>22 05 00.1051</t>
  </si>
  <si>
    <t>22 05 00.1052</t>
  </si>
  <si>
    <t>22 05 00.1053</t>
  </si>
  <si>
    <t>22 05 00.1054</t>
  </si>
  <si>
    <t>22 05 00.1055</t>
  </si>
  <si>
    <t>22 05 00.1056</t>
  </si>
  <si>
    <t>22 05 00.1057</t>
  </si>
  <si>
    <t>22 05 00.1058</t>
  </si>
  <si>
    <t>22 05 00.1059</t>
  </si>
  <si>
    <t>22 05 00.1060</t>
  </si>
  <si>
    <t>22 05 00.1061</t>
  </si>
  <si>
    <t>22 05 00.1062</t>
  </si>
  <si>
    <t>22 05 00.1063</t>
  </si>
  <si>
    <t>22 05 00.1064</t>
  </si>
  <si>
    <t>22 05 00.1065</t>
  </si>
  <si>
    <t>22 05 00.1066</t>
  </si>
  <si>
    <t>22 05 00.1067</t>
  </si>
  <si>
    <t>22 05 00.1068</t>
  </si>
  <si>
    <t>22 05 00.1069</t>
  </si>
  <si>
    <t>22 05 00.1070</t>
  </si>
  <si>
    <t>22 05 00.1071</t>
  </si>
  <si>
    <t>22 05 00.1072</t>
  </si>
  <si>
    <t>22 05 00.1073</t>
  </si>
  <si>
    <t>22 05 00.1074</t>
  </si>
  <si>
    <t>22 05 00.1075</t>
  </si>
  <si>
    <t>22 05 00.1076</t>
  </si>
  <si>
    <t>22 05 00.1077</t>
  </si>
  <si>
    <t>22 05 00.1078</t>
  </si>
  <si>
    <t>22 05 00.1079</t>
  </si>
  <si>
    <t>22 05 00.1080</t>
  </si>
  <si>
    <t>22 05 00.1081</t>
  </si>
  <si>
    <t>22 05 00.1082</t>
  </si>
  <si>
    <t>22 05 00.1083</t>
  </si>
  <si>
    <t>22 05 00.1084</t>
  </si>
  <si>
    <t>22 05 00.1085</t>
  </si>
  <si>
    <t>بكس بلاستيك 15 * 7</t>
  </si>
  <si>
    <t>روزتات M 35</t>
  </si>
  <si>
    <t>قاطع M 20</t>
  </si>
  <si>
    <t>موصل اسلاك / واير نوت</t>
  </si>
  <si>
    <t>غطاء بوكس 7 * 7 * 4.7</t>
  </si>
  <si>
    <t>غطاء بوكس 7 * 14 * 4.7</t>
  </si>
  <si>
    <t>شريط لحام</t>
  </si>
  <si>
    <t>سلك فايبر / بالمتر</t>
  </si>
  <si>
    <t>سلك اصفر 10 مم2 (8 AWG)</t>
  </si>
  <si>
    <t>سلك اسود 10 مم2 (8 AWG)</t>
  </si>
  <si>
    <t>سلك احمر 6 مم2 (10 AWG)</t>
  </si>
  <si>
    <t>سلك اصفر 6 مم2 (10 AWG)</t>
  </si>
  <si>
    <t>سلك ازرق 6 مم2 (10 AWG)</t>
  </si>
  <si>
    <t>سلك اسود 6 مم2 (10 AWG)</t>
  </si>
  <si>
    <t>سلك اخضر في اصفر 6 مم2 (10 AWG)</t>
  </si>
  <si>
    <t>سلك احمر 4 مم2 (12 AWG)</t>
  </si>
  <si>
    <t>سلك اصفر 4 مم2 (12 AWG)</t>
  </si>
  <si>
    <t>سلك ازرق 4 مم2 (12 AWG)</t>
  </si>
  <si>
    <t>سلك اسود 4 مم2 (12 AWG)</t>
  </si>
  <si>
    <t>سلك اخضر في اصفر 4 مم2 (12 AWG)</t>
  </si>
  <si>
    <t>سلك احمر 2.5 مم2 (14 AWG)</t>
  </si>
  <si>
    <t>سلك اصفر 2.5 مم2 (14 AWG)</t>
  </si>
  <si>
    <t>سلك ازرق 2.5 مم2 (14 AWG)</t>
  </si>
  <si>
    <t>سلك اسود 2.5 مم2 (14 AWG)</t>
  </si>
  <si>
    <t>سلك اخضر في اصفر 2.5 مم2 (14 AWG)</t>
  </si>
  <si>
    <t>سلك اخضر في اصفر 1.5 مم2 (14 AWG)</t>
  </si>
  <si>
    <t>كوع زاويه بى فى سى 1 بوصه جدول 40</t>
  </si>
  <si>
    <t>بوكس مكيف 20 * 20</t>
  </si>
  <si>
    <t>كوع 50 مم</t>
  </si>
  <si>
    <t>لى سخان 2/1 بوصه</t>
  </si>
  <si>
    <t>جلبه 1" بى فى سى SCH 40</t>
  </si>
  <si>
    <t>04 20 00.1010</t>
  </si>
  <si>
    <t>بلوك عادى 25 سم</t>
  </si>
  <si>
    <t>ORDINARY BLOCK 25 CM</t>
  </si>
  <si>
    <t>86</t>
  </si>
  <si>
    <t>87</t>
  </si>
  <si>
    <t>88</t>
  </si>
  <si>
    <t>89</t>
  </si>
  <si>
    <t>91</t>
  </si>
  <si>
    <t>زاويه بلوك 5 سم</t>
  </si>
  <si>
    <t>C 10 OPC</t>
  </si>
  <si>
    <t>26 05 00.1052</t>
  </si>
  <si>
    <t>26 05 00.1053</t>
  </si>
  <si>
    <t>26 05 00.1054</t>
  </si>
  <si>
    <t>26 05 00.1055</t>
  </si>
  <si>
    <t>26 05 00.1056</t>
  </si>
  <si>
    <t>26 05 00.1057</t>
  </si>
  <si>
    <t>26 05 00.1058</t>
  </si>
  <si>
    <t>26 05 00.1059</t>
  </si>
  <si>
    <t>26 05 00.1060</t>
  </si>
  <si>
    <t>26 05 00.1061</t>
  </si>
  <si>
    <t>26 05 00.1062</t>
  </si>
  <si>
    <t>26 05 00.1063</t>
  </si>
  <si>
    <t>26 05 00.1064</t>
  </si>
  <si>
    <t>26 05 00.1065</t>
  </si>
  <si>
    <t>26 05 00.1066</t>
  </si>
  <si>
    <t>26 05 00.1067</t>
  </si>
  <si>
    <t>26 05 00.1068</t>
  </si>
  <si>
    <t>26 05 00.1069</t>
  </si>
  <si>
    <t>26 05 00.1070</t>
  </si>
  <si>
    <t>26 05 00.1071</t>
  </si>
  <si>
    <t>26 05 00.1072</t>
  </si>
  <si>
    <t>26 05 00.1073</t>
  </si>
  <si>
    <t>26 05 00.1074</t>
  </si>
  <si>
    <t>26 05 00.1075</t>
  </si>
  <si>
    <t>26 05 00.1076</t>
  </si>
  <si>
    <t>26 05 00.1077</t>
  </si>
  <si>
    <t>26 05 00.1078</t>
  </si>
  <si>
    <t>26 05 00.1079</t>
  </si>
  <si>
    <t>26 05 00.1080</t>
  </si>
  <si>
    <t>26 05 00.1081</t>
  </si>
  <si>
    <t>26 05 00.1082</t>
  </si>
  <si>
    <t>26 05 00.1083</t>
  </si>
  <si>
    <t>26 05 00.1084</t>
  </si>
  <si>
    <t>26 05 00.1085</t>
  </si>
  <si>
    <t>26 05 00.1086</t>
  </si>
  <si>
    <t>26 05 00.1087</t>
  </si>
  <si>
    <t>26 05 00.1088</t>
  </si>
  <si>
    <t>26 05 00.1089</t>
  </si>
  <si>
    <t>26 05 00.1090</t>
  </si>
  <si>
    <t>26 05 00.1091</t>
  </si>
  <si>
    <t>26 05 00.1092</t>
  </si>
  <si>
    <t>26 05 00.1093</t>
  </si>
  <si>
    <t>22 05 00.1086</t>
  </si>
  <si>
    <t>22 05 00.1087</t>
  </si>
  <si>
    <t>22 05 00.1088</t>
  </si>
  <si>
    <t>22 05 00.1089</t>
  </si>
  <si>
    <t>22 05 00.1090</t>
  </si>
  <si>
    <t>22 05 00.1091</t>
  </si>
  <si>
    <t>26 05 00.1094</t>
  </si>
  <si>
    <t>مرابيع نمساوي 3*7*7</t>
  </si>
  <si>
    <t>مرابيع 3*3*3</t>
  </si>
  <si>
    <t>مرابيع قوه 4*10*10</t>
  </si>
  <si>
    <t>لاتزانه 3.6 متر</t>
  </si>
  <si>
    <t>مرابيع 3*7*7</t>
  </si>
  <si>
    <t>لاتزانه 3 متر</t>
  </si>
  <si>
    <t>wood 3" X 3" X 3 mtr</t>
  </si>
  <si>
    <t>كانه</t>
  </si>
  <si>
    <t>خيط</t>
  </si>
  <si>
    <t>ماده تزريع حديد</t>
  </si>
  <si>
    <t>SUBCONTRACTOR MATERIAL DEDUCTION</t>
  </si>
  <si>
    <t/>
  </si>
  <si>
    <t>PRICE</t>
  </si>
  <si>
    <t>UNIT</t>
  </si>
  <si>
    <t>Material ID</t>
  </si>
  <si>
    <t>Units</t>
  </si>
  <si>
    <t>SPECIAL DEDUCTIONS</t>
  </si>
  <si>
    <t>Site Infractions</t>
  </si>
  <si>
    <t>Other Labor</t>
  </si>
  <si>
    <t>unexecuted works</t>
  </si>
  <si>
    <t>concrete repairs</t>
  </si>
  <si>
    <t>Extra Work</t>
  </si>
  <si>
    <t>Wasted Wood</t>
  </si>
  <si>
    <t>40 10 00.1013</t>
  </si>
  <si>
    <t>Metal Tensioner and Jacks</t>
  </si>
  <si>
    <t>Category SN</t>
  </si>
  <si>
    <t>Piece</t>
  </si>
  <si>
    <t>Bag</t>
  </si>
  <si>
    <t>Ton</t>
  </si>
  <si>
    <t>Roll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</si>
  <si>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</si>
  <si>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Palet</t>
  </si>
  <si>
    <t>Plastic Box 15x7 cm</t>
  </si>
  <si>
    <t>Rosette M 35</t>
  </si>
  <si>
    <t>Circuit Breaker M 20</t>
  </si>
  <si>
    <t>Screw/Nail M 7</t>
  </si>
  <si>
    <t>Wire Connector / Wire Nut</t>
  </si>
  <si>
    <t>Box Cover 7x7x4.7 cm</t>
  </si>
  <si>
    <t>Box Cover 7x14x4.7 cm</t>
  </si>
  <si>
    <t>غطاء بوكس 10 * 10 *3.5</t>
  </si>
  <si>
    <t>Box Cover 10x10x3.5 cm</t>
  </si>
  <si>
    <t>غطاء بوكس 15 * 15 * 10</t>
  </si>
  <si>
    <t>Box Cover 15x15x10 cm</t>
  </si>
  <si>
    <t>غطاء بوكس 20 * 20 * 5</t>
  </si>
  <si>
    <t>Box Cover 20x20x5 cm</t>
  </si>
  <si>
    <t>غطاء بوكس 20 * 20 * 10</t>
  </si>
  <si>
    <t>Box Cover 20x20x10 cm</t>
  </si>
  <si>
    <t>غطاء بوكس 25 * 25 *10</t>
  </si>
  <si>
    <t>Box Cover 25x25x10 cm</t>
  </si>
  <si>
    <t>غطاء بوكس 30 * 30 *10</t>
  </si>
  <si>
    <t>Box Cover 30x30x10 cm</t>
  </si>
  <si>
    <t>Welding Rod / Solder Wire</t>
  </si>
  <si>
    <t>Fiber Wire / per meter</t>
  </si>
  <si>
    <t>Yellow Wire 10 mm² (8 AWG)</t>
  </si>
  <si>
    <t>Black Wire 10 mm² (8 AWG)</t>
  </si>
  <si>
    <t>Red Wire 6 mm² (10 AWG)</t>
  </si>
  <si>
    <t>Yellow Wire 6 mm² (10 AWG)</t>
  </si>
  <si>
    <t>Blue Wire 6 mm² (10 AWG)</t>
  </si>
  <si>
    <t>Black Wire 6 mm² (10 AWG)</t>
  </si>
  <si>
    <t>Green/Yellow Wire 6 mm² (10 AWG)</t>
  </si>
  <si>
    <t>Red Wire 4 mm² (12 AWG)</t>
  </si>
  <si>
    <t>Yellow Wire 4 mm² (12 AWG)</t>
  </si>
  <si>
    <t>Blue Wire 4 mm² (12 AWG)</t>
  </si>
  <si>
    <t>Black Wire 4 mm² (12 AWG)</t>
  </si>
  <si>
    <t>Green/Yellow Wire 4 mm² (12 AWG)</t>
  </si>
  <si>
    <t>Red Wire 2.5 mm² (14 AWG)</t>
  </si>
  <si>
    <t>Yellow Wire 2.5 mm² (14 AWG)</t>
  </si>
  <si>
    <t>Blue Wire 2.5 mm² (14 AWG)</t>
  </si>
  <si>
    <t>Black Wire 2.5 mm² (14 AWG)</t>
  </si>
  <si>
    <t>Green/Yellow Wire 2.5 mm² (14 AWG)</t>
  </si>
  <si>
    <t>Green/Yellow Wire 1.5 mm² (14 AWG)</t>
  </si>
  <si>
    <t>كابل انذار حريق 2*1.5 مم2</t>
  </si>
  <si>
    <t>Fire Alarm Cable 2x1.5 mm²</t>
  </si>
  <si>
    <t>كابل انذار حريق 2*2.5 مم2</t>
  </si>
  <si>
    <t>Fire Alarm Cable 2x2.5 mm²</t>
  </si>
  <si>
    <t>ماسورة 150 مم كلاس 3</t>
  </si>
  <si>
    <t>150 mm CLASS 4 PVC PIPE ,6MTR</t>
  </si>
  <si>
    <t>ماسورة 110 مم كلاس 3</t>
  </si>
  <si>
    <t>110 mm CLASS 4 PVC PIPE ,6MTR</t>
  </si>
  <si>
    <t>75 mm CLASS 3 PVC PIPE ,6MTR</t>
  </si>
  <si>
    <t>ماسورة 50 مم كلاس 3</t>
  </si>
  <si>
    <t>50 mm CLASS 3 PVC PIPE ,6MTR</t>
  </si>
  <si>
    <t>ماسورة 32 مم كلاس 3</t>
  </si>
  <si>
    <t>32 mm CLASS 3 PVC PIPE ,6MTR</t>
  </si>
  <si>
    <t>غراء مواسير</t>
  </si>
  <si>
    <t>GLUE 1/2 KG</t>
  </si>
  <si>
    <t>منظف مواسير</t>
  </si>
  <si>
    <t>CLEANER 1/2 KG</t>
  </si>
  <si>
    <t>تيب رمادي</t>
  </si>
  <si>
    <t>PVC MASKING TAPE 2" GREY</t>
  </si>
  <si>
    <t>حبل شداد قطر 6 مم</t>
  </si>
  <si>
    <t>75 mm CLASS 3 PVC ELBOW 90</t>
  </si>
  <si>
    <t>75 mm CLASS 3 PVC ELBOW 45</t>
  </si>
  <si>
    <t>50 mm CLASS 3 PVC ELBOW 90</t>
  </si>
  <si>
    <t>50 mm CLASS 3 PVC ELBOW 45</t>
  </si>
  <si>
    <t>32 mm CLASS 3 PVC ELBOW 90</t>
  </si>
  <si>
    <t>32 mm CLASS 3 PVC ELBOW 45</t>
  </si>
  <si>
    <t>150 mm CLASS 3 PVC COUPLING</t>
  </si>
  <si>
    <t>110 mm CLASS 3 PVC COUPLING</t>
  </si>
  <si>
    <t>75 mm CLASS 3 PVC COUPLING</t>
  </si>
  <si>
    <t>50 mm CLASS 3 PVC COUPLING</t>
  </si>
  <si>
    <t>32 mm CLASS 3 PVC COUPLING</t>
  </si>
  <si>
    <t>25 mm CLASS 3 PVC COUPLING</t>
  </si>
  <si>
    <t>20 mm CLASS 3 PVC COUPLING</t>
  </si>
  <si>
    <t>ORANGE HOSE 16 MM</t>
  </si>
  <si>
    <t>ORANGE HOSE 23 MM</t>
  </si>
  <si>
    <t>PVC FLEXIBLE CONDUIT 25 MM</t>
  </si>
  <si>
    <t>لفة فليكسبل بلاستيك مقاس 2"</t>
  </si>
  <si>
    <t>PVC FLEXIBLE CONDUIT 2''</t>
  </si>
  <si>
    <t>لفة فليكسبل معدن مقاس 1/2 بوصة</t>
  </si>
  <si>
    <t>FLEXIBLE 1/2'' EMT CONDUIT</t>
  </si>
  <si>
    <t>بوكس معدن مقاس (7X7X4.7) CM</t>
  </si>
  <si>
    <t>EMT BOX (7X7X4.7) CM</t>
  </si>
  <si>
    <t>EMT CEILING BOX (10X10X3.5) CM</t>
  </si>
  <si>
    <t>بوكس معدن مقاس (15X15X10) CM</t>
  </si>
  <si>
    <t>EMT BOX (15X15X10) CM</t>
  </si>
  <si>
    <t>EMT BOX (2"X 4") CM</t>
  </si>
  <si>
    <t>EMT BOX (20X20X5.5) CM</t>
  </si>
  <si>
    <t>EMT BOX (20X20X10) CM</t>
  </si>
  <si>
    <t>بوكس معدن مقاس (25X25X10) CM</t>
  </si>
  <si>
    <t>EMT BOX (25X25X10) CM</t>
  </si>
  <si>
    <t>بوكس معدن مقاس (30X30X10) CM</t>
  </si>
  <si>
    <t>EMT BOX (30X30X10) CM</t>
  </si>
  <si>
    <t>غطاء بوكس معدن مقاس (7X14X4.7) CM</t>
  </si>
  <si>
    <t>EMT BOX COVER (7X14X4.7) CM</t>
  </si>
  <si>
    <t>غطاء بوكس معدن مقاس (2"X 4") CM</t>
  </si>
  <si>
    <t>EMT BOX COVER (2"X 4") CM</t>
  </si>
  <si>
    <t>ادابتور معدن 1/2 بوصة</t>
  </si>
  <si>
    <t>FLEXIBLE 1/2'' EMT CONNECTOR</t>
  </si>
  <si>
    <t>BLACK ADAPTOR
 FEMALE 20 MM</t>
  </si>
  <si>
    <t>BLACK ADAPTOR
 FEMALE 25 MM</t>
  </si>
  <si>
    <t>BLACK ADAPTOR
 FEMALE 32 MM</t>
  </si>
  <si>
    <t>BLACK ADAPTOR
 FEMALE 50 MM</t>
  </si>
  <si>
    <t>ادابتور بلاستيك جانبي 20 مم</t>
  </si>
  <si>
    <t>BLACK SIDE CONNECTOR (20 MM)</t>
  </si>
  <si>
    <t>ادابتور بلاستيك جانبي 25 مم</t>
  </si>
  <si>
    <t>BLACK SIDE CONNECTOR (25 MM)</t>
  </si>
  <si>
    <t>تيب ابيض ورق</t>
  </si>
  <si>
    <t>PAPER MASKING TAPE 2" BEIGE</t>
  </si>
  <si>
    <t>علبة مسامير طول 5 سم</t>
  </si>
  <si>
    <t>علبة مسامير طول 6 سم</t>
  </si>
  <si>
    <t>علبة مسامير طول 7 سم</t>
  </si>
  <si>
    <t>PANEL ENCLOSURE 24 CIRCUIT</t>
  </si>
  <si>
    <t>مفتاح سكة واحدة لقمة واحدة-فنار</t>
  </si>
  <si>
    <t>ONE WAY ONE GANG SWITCH 10A</t>
  </si>
  <si>
    <t>مفتاح سكة واحدة لقمتين-فنار</t>
  </si>
  <si>
    <t>ONE WAY TWO GANG SWITCH 10A</t>
  </si>
  <si>
    <t>مفتاح سكة واحدة 3 لقم-فنار</t>
  </si>
  <si>
    <t>ONE WAY THREE GANG SWITCH 10A</t>
  </si>
  <si>
    <t>مفتاح جرس-فنار</t>
  </si>
  <si>
    <t>DOOR BELL 10A WITH SWITCH</t>
  </si>
  <si>
    <t>جرس باب</t>
  </si>
  <si>
    <t>DOOR BELL</t>
  </si>
  <si>
    <t>فيش كهربا بمفتاح احادي-فنار</t>
  </si>
  <si>
    <t>13A SINGLE SWITCHED SOCKET</t>
  </si>
  <si>
    <t>فيش كهربا بمفتاح ثنائي-فنار</t>
  </si>
  <si>
    <t>13A DOUBLE SWITCHED SOCKET</t>
  </si>
  <si>
    <t>مفتاح فصل سخان 20 امبير-فنار</t>
  </si>
  <si>
    <t xml:space="preserve"> DISCONNECT SWITCH 20 A FOR EWH</t>
  </si>
  <si>
    <t>مفتاح فصل تكييف 20 امبير-فنار</t>
  </si>
  <si>
    <t xml:space="preserve"> DISCONNECT SWITCH 20 A FOR AC</t>
  </si>
  <si>
    <t>مفتاح فصل تكييف 45 امبير-فنار</t>
  </si>
  <si>
    <t xml:space="preserve"> DISCONNECT SWITCH 45 A FOR AC</t>
  </si>
  <si>
    <t>فيش تليفزيون-فنار</t>
  </si>
  <si>
    <t xml:space="preserve">TV SOCKET </t>
  </si>
  <si>
    <t>سدادة ابيض-فنار</t>
  </si>
  <si>
    <t>WHITE BLANK</t>
  </si>
  <si>
    <t>كشاف طبق دائري خارجي 40 وات-هونداي</t>
  </si>
  <si>
    <t>40W CEILING LED LIGHT 4000K NATURAL WHITE 4000LM 220-240V 30000H-HYUNDAI</t>
  </si>
  <si>
    <t>كشاف 60*60 غاطس 40 وات-هونداي</t>
  </si>
  <si>
    <t>HBLP-40W 4000K 110LM LED BACKLIT PANEL 220-240V-HYUNDAI</t>
  </si>
  <si>
    <t>كشاف دائري خارجي غير مقاوم 20 وات-هونداي</t>
  </si>
  <si>
    <t>HRSM-20W 4000K SURFACE MOUNTED ROUND ALUMINIUM-HYUNDAI</t>
  </si>
  <si>
    <t>كشاف دائري غاطس غير مقاوم 20 وات-هونداي</t>
  </si>
  <si>
    <t>HSMD-20W 4000K DOWNLIGHT LED SMD 20CM C/OUT 100-240V-HYUNDAI</t>
  </si>
  <si>
    <t>كشاف دائري غاطس مقاوم 24 وات-هونداي</t>
  </si>
  <si>
    <t>HDSPL-24W 4000K SPLASH PROOF DOWN LIGHT 2600LM 20CM CUT OUT 220-240V 50/60Hz IP54-HYUNDAI</t>
  </si>
  <si>
    <t>كشاف عين بقرة دائري 20 وات-هونداي</t>
  </si>
  <si>
    <t>HBLR-20W 4000K ROUND BULK HEAD 110-220 90LM/W-HYUNDAI</t>
  </si>
  <si>
    <t>كشاف ارضية 8 وات-هونداي</t>
  </si>
  <si>
    <t>HOUL-8.3W 3000K FLOOR LIGHTING 220-240 V 65LM/W-HYUNDAI</t>
  </si>
  <si>
    <t>كشاف فلودلايت-هونداي</t>
  </si>
  <si>
    <t>100/6.5K LED FLOOD LIGHT 220-240V 50/60Hz 6500K 10000LM 30000 Hrs-HYUNDAI</t>
  </si>
  <si>
    <t>كشاف عين بقرة بيضاوي 24 وات-مظلة</t>
  </si>
  <si>
    <t>24W, 3000k, 100/240V, 2160LM, 30000H BULK HEAD-MAZALLAH</t>
  </si>
  <si>
    <t>علامة هروب 8 وات-هونداي</t>
  </si>
  <si>
    <t>EXIT LIGHT, 1X8W SINGLE FACE SIGN EXIT- HYUNDAI</t>
  </si>
  <si>
    <t>كشاف طورائ 40 سم-هونداي</t>
  </si>
  <si>
    <t>HLEM- EMERGENCY LIGHT NON MAINTAINED 3HRS 220V 50/60Hz IP54-HYUNDAI</t>
  </si>
  <si>
    <t>120 mm² Soft Drawn Bare copper Conductor</t>
  </si>
  <si>
    <t>Thermo Plastic Copper Cable With CSA (3*2.5)mm2</t>
  </si>
  <si>
    <t>Thermo Plastic Copper Cable With CSA (3*4)mm3</t>
  </si>
  <si>
    <t>لوحة انذار حريق 8 زون</t>
  </si>
  <si>
    <t>CPF-Conventional Fire Alarm Panel 
(8 Zones &amp; 2 Fire Relay)</t>
  </si>
  <si>
    <t>كاشف دخان بقاعدة عادية</t>
  </si>
  <si>
    <t>CONVENTIONAL SMOKE DETECTOR
WITH CONVENTIONAL BASE</t>
  </si>
  <si>
    <t>كاشف دخان بقاعدة صوتية</t>
  </si>
  <si>
    <t>CONVENTIONAL SMOKE DETECTOR
CONVENTIONAL SOUND BASE</t>
  </si>
  <si>
    <t>كاشف حرارة بقاعدة عادية</t>
  </si>
  <si>
    <t>CONVENTIONAL HEAT DETECTOR 
WITH CONVENTIONAL BASE</t>
  </si>
  <si>
    <t>كاسر</t>
  </si>
  <si>
    <t>CONVENTIONAL CALL POINT</t>
  </si>
  <si>
    <t>سارينة صوتية</t>
  </si>
  <si>
    <t>CONVENTIONAL SOUNDER</t>
  </si>
  <si>
    <t>كلامب نحاس حرف U</t>
  </si>
  <si>
    <t>‘U’ Bolt Rod Clamp (Type GUV)</t>
  </si>
  <si>
    <t xml:space="preserve"> Cable With (4*10) mm2 CU/XLPE/PVC</t>
  </si>
  <si>
    <t xml:space="preserve"> Cable With (4*16) mm2 CU/XLPE/PVC</t>
  </si>
  <si>
    <t xml:space="preserve"> Cable With (4*70) mm2 CU/XLPE/PVC</t>
  </si>
  <si>
    <t>Digital Multimeter</t>
  </si>
  <si>
    <t>Digital Clamp Meter</t>
  </si>
  <si>
    <t>ميزان ليزر</t>
  </si>
  <si>
    <t>صاروخ كبير مقاس 9 بوصة</t>
  </si>
  <si>
    <t>صاروخ صغير مقاس 5 بوصة</t>
  </si>
  <si>
    <t>ماكيتة شحن كهرباء</t>
  </si>
  <si>
    <t>جاك هامر</t>
  </si>
  <si>
    <t>مفاتيح لقم مقاس ( من 10 مم الى 24 )</t>
  </si>
  <si>
    <t>مفاتيح عادي مقاس ( من 10 مم الى 24 )</t>
  </si>
  <si>
    <t>خواشات كوباية مقاس (من 20 الى 75 مم)</t>
  </si>
  <si>
    <t>بنطة تكسير في الخرسانة مقاس 25 مم</t>
  </si>
  <si>
    <t>شاكوش تكسير 2 كيلو</t>
  </si>
  <si>
    <t>بنطة تكسير في الخرسانة يدوي مسمار</t>
  </si>
  <si>
    <t>بنطة تكسير في الخرسانة يدوي اجنة (مسطحة)</t>
  </si>
  <si>
    <t>ميزان خرطوم مائي  بطول من 10 الى 15 متر(خرطوم شرب)</t>
  </si>
  <si>
    <t>مقص مواسير بولي</t>
  </si>
  <si>
    <t>بنط هلتي تخريم خرسانة مقاس من 6 الى 12 مم</t>
  </si>
  <si>
    <t>اسطوانة صاروخ مقاس 9 بوصة خرسانة</t>
  </si>
  <si>
    <t>اسطوانة صاروخ مقاس 5 بوصة خرسانة</t>
  </si>
  <si>
    <t>بنط حدادي مقاس من 4 الى 12 مم</t>
  </si>
  <si>
    <t>ميزان مياه عادي 30 سم</t>
  </si>
  <si>
    <t>HEATGUN</t>
  </si>
  <si>
    <t>سوستة سحب صلب طول 15 متر</t>
  </si>
  <si>
    <t>سوستة سحب صلب طول 30 متر</t>
  </si>
  <si>
    <t>سوستة سحب صلب طول 70 متر</t>
  </si>
  <si>
    <t>شباك سقالة معدنية</t>
  </si>
  <si>
    <t>ميزان مياه عادي كبير</t>
  </si>
  <si>
    <t>ماسورة 75 مم  كلاس 3</t>
  </si>
  <si>
    <t>جلبة مقاس 150 مم2</t>
  </si>
  <si>
    <t>جلبة مقاس 110 مم2</t>
  </si>
  <si>
    <t>جلبة مقاس 25 مم2</t>
  </si>
  <si>
    <t>جلبة مقاس 20 مم2</t>
  </si>
  <si>
    <t>خيط شداد قطر 2 مم2</t>
  </si>
  <si>
    <t>كابل نحاس ثرموبلاستيك 3*4 مم2</t>
  </si>
  <si>
    <t>كابل نحاس (4*10) مم2</t>
  </si>
  <si>
    <t>كابل نحاس (4*16) مم2</t>
  </si>
  <si>
    <t>كابل نحاس (4*70) مم2</t>
  </si>
  <si>
    <t>كوسة نحاس (70) مم2</t>
  </si>
  <si>
    <t>COPPER LUG WITH CSA 70 mm2</t>
  </si>
  <si>
    <t>كوسة نحاس (35) مم2</t>
  </si>
  <si>
    <t>COPPER LUG WITH CSA 35 mm2</t>
  </si>
  <si>
    <t>كوع فاتح 6بوصه</t>
  </si>
  <si>
    <t>مشترك تي 2 بوصه بي في سي</t>
  </si>
  <si>
    <t>لي 30 سم</t>
  </si>
  <si>
    <t>نبل نص بوصه</t>
  </si>
  <si>
    <t>طبه بي في سي 6بوصه</t>
  </si>
  <si>
    <t>قفيز رابر 50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</si>
  <si>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</si>
  <si>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</si>
  <si>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</si>
  <si>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</si>
  <si>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</si>
  <si>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</si>
  <si>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</si>
  <si>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</si>
  <si>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</si>
  <si>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</si>
  <si>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1.6</t>
  </si>
  <si>
    <t>5</t>
  </si>
  <si>
    <t>4.8</t>
  </si>
  <si>
    <t>4.3</t>
  </si>
  <si>
    <t>2.9</t>
  </si>
  <si>
    <t>خيط شداد 6سم</t>
  </si>
  <si>
    <t>ماده تزريع Soma R:X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</si>
  <si>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</si>
  <si>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</si>
  <si>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</si>
  <si>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</si>
  <si>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</si>
  <si>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</si>
  <si>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</si>
  <si>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</si>
  <si>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</si>
  <si>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</si>
  <si>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</si>
  <si>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</si>
  <si>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</si>
  <si>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</si>
  <si>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</si>
  <si>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</si>
  <si>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</si>
  <si>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</si>
  <si>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</si>
  <si>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</si>
  <si>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</si>
  <si>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</si>
  <si>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</si>
  <si>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</si>
  <si>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</si>
  <si>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</si>
  <si>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</si>
  <si>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</si>
  <si>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</si>
  <si>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</si>
  <si>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</si>
  <si>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</si>
  <si>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</si>
  <si>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</si>
  <si>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</si>
  <si>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</si>
  <si>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</si>
  <si>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</si>
  <si>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</si>
  <si>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</si>
  <si>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</si>
  <si>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</si>
  <si>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</si>
  <si>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</si>
  <si>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</si>
  <si>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</si>
  <si>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</si>
  <si>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</si>
  <si>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</si>
  <si>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</si>
  <si>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</si>
  <si>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</si>
  <si>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</si>
  <si>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</si>
  <si>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</si>
  <si>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</si>
  <si>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</si>
  <si>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</si>
  <si>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</si>
  <si>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</si>
  <si>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</si>
  <si>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</si>
  <si>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</si>
  <si>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</si>
  <si>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</si>
  <si>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</si>
  <si>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</si>
  <si>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</si>
  <si>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</si>
  <si>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</si>
  <si>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</si>
  <si>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</si>
  <si>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</si>
  <si>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</si>
  <si>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</si>
  <si>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</si>
  <si>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EA</t>
  </si>
  <si>
    <t>ROLL</t>
  </si>
  <si>
    <t>MTR</t>
  </si>
  <si>
    <t>Water Hose Level 10-15 meters length (Drinking Hose)</t>
  </si>
  <si>
    <t>Concrete Cutting Wheel / Disc 9 inch (for angle grinder)</t>
  </si>
  <si>
    <t>Concrete Cutting Wheel / Disc 5 inch (for angle grinder)</t>
  </si>
  <si>
    <t>Ordinary Water Level 30 cm</t>
  </si>
  <si>
    <t xml:space="preserve">	Nail Box / Nail Carton 6 cm length</t>
  </si>
  <si>
    <t>Laser Level</t>
  </si>
  <si>
    <t>Large Angle Grinder 9 inch</t>
  </si>
  <si>
    <t>Small Angle Grinder 5 inch</t>
  </si>
  <si>
    <t>Jack Hammer</t>
  </si>
  <si>
    <t>هيلتي تكسير كبير</t>
  </si>
  <si>
    <t>Large Demolition Hammer / Large Hilti Breaker</t>
  </si>
  <si>
    <t>Cup Brushes (20 mm to 75 mm)</t>
  </si>
  <si>
    <t>Concrete Breaker Bit 25 mm</t>
  </si>
  <si>
    <t>متر بطول 5 متر</t>
  </si>
  <si>
    <t>Measuring Tape 5 meters</t>
  </si>
  <si>
    <t>متر بطول 7 متر</t>
  </si>
  <si>
    <t>Measuring Tape 7 meters</t>
  </si>
  <si>
    <t>Demolition Hammer 2 kg</t>
  </si>
  <si>
    <t>Poly Pipe Cutter</t>
  </si>
  <si>
    <t>Hilti Concrete Drill Bits (6 mm to 12 mm)</t>
  </si>
  <si>
    <t>اسطوانة صاروخ مقاس 9 بوصة حدادي</t>
  </si>
  <si>
    <t>اسطوانة صاروخ مقاس 5 بوصة حدادي</t>
  </si>
  <si>
    <t>Metal Drill Bits (4 mm to 12 mm)</t>
  </si>
  <si>
    <t>Large Spirit Level / Large Bubble Level</t>
  </si>
  <si>
    <t>ميزان مياه عادي صغير</t>
  </si>
  <si>
    <t>Small Spirit Level / Small Bubble Level</t>
  </si>
  <si>
    <t>Battery Charger</t>
  </si>
  <si>
    <t>Socket Wrench Set (10 mm to 24 mm)</t>
  </si>
  <si>
    <t>Open-End Wrench Set (10 mm to 24 mm)</t>
  </si>
  <si>
    <t>Manual Concrete Breaker Bit - Nail Point</t>
  </si>
  <si>
    <t>Manual Concrete Breaker Bit - Flat Chisel</t>
  </si>
  <si>
    <t>Metal Cutting Disc 9 inch</t>
  </si>
  <si>
    <t>Metal Cutting Disc 5 inch</t>
  </si>
  <si>
    <t>Steel Pulling Spring / Fish Tape 15 meters</t>
  </si>
  <si>
    <t>Steel Pulling Spring / Fish Tape 30 meters</t>
  </si>
  <si>
    <t>Steel Pulling Spring / Fish Tape 70 meters</t>
  </si>
  <si>
    <t>Metal Scaffolding Net / Scaffold Enclosure</t>
  </si>
  <si>
    <t>جهاز قياس كهرباء رقمي</t>
  </si>
  <si>
    <t>جهاز قياس تيار كهربائي رقمي (كلامب)</t>
  </si>
  <si>
    <t>مسدس حراري</t>
  </si>
  <si>
    <t xml:space="preserve">	Nail Box / Nail Carton 5 cm length</t>
  </si>
  <si>
    <t>Pulling String 2 mm² / Pulling Rope 2 mm²</t>
  </si>
  <si>
    <t>PVC Angle Elbow 1 inch Schedule 40</t>
  </si>
  <si>
    <t>AC Unit Junction Box 20x20 cm</t>
  </si>
  <si>
    <t>Elbow 50 mm</t>
  </si>
  <si>
    <t>Cable Ties / Zip Ties</t>
  </si>
  <si>
    <t>PVC Coupling 1 inch Schedule 40</t>
  </si>
  <si>
    <t>PVC Cleanout Elbow 6 inch</t>
  </si>
  <si>
    <t>PVC Tee 2 inch</t>
  </si>
  <si>
    <t>مشترك واي بي في سي 4*6</t>
  </si>
  <si>
    <t>PVC Wye 4x6 inch</t>
  </si>
  <si>
    <t>ماسوره 6بوصه أبيض تقيل</t>
  </si>
  <si>
    <t>Heavy White PVC Pipe 6 inch</t>
  </si>
  <si>
    <t>محبس زاوية نص بوصه</t>
  </si>
  <si>
    <t>Angle Valve 1/2 inch</t>
  </si>
  <si>
    <t>ساعه ضغط</t>
  </si>
  <si>
    <t>Pressure Gauge</t>
  </si>
  <si>
    <t>PVC Cap 6 inch</t>
  </si>
  <si>
    <t>Rubber Gasket 50 mm</t>
  </si>
  <si>
    <t>Welding Crank 25 mm</t>
  </si>
  <si>
    <t>Heater Connection 1/2 inch</t>
  </si>
  <si>
    <t>Connector 30 cm</t>
  </si>
  <si>
    <t>Neble 1/2 inch</t>
  </si>
  <si>
    <t>سيراميك 30*30 ارضيات</t>
  </si>
  <si>
    <t>Ceramic Floor Tiles 30x30 cm</t>
  </si>
  <si>
    <t>سيراميك 60*30 حوائط عادى</t>
  </si>
  <si>
    <t>Regular Ceramic Wall Tiles 60x30 cm</t>
  </si>
  <si>
    <t>سيراميك 60*30 حوائط مزخرف</t>
  </si>
  <si>
    <t>Decorative Ceramic Wall Tiles 60x30 cm</t>
  </si>
  <si>
    <t>سيراميك 60*60 عادى</t>
  </si>
  <si>
    <t>Regular Ceramic Tiles 60x60 cm</t>
  </si>
  <si>
    <t>سيراميك 60*60 غامق</t>
  </si>
  <si>
    <t>Dark Ceramic Tiles 60x60 cm</t>
  </si>
  <si>
    <t>وزر 10*60 عادى</t>
  </si>
  <si>
    <t>Regular Skirting / Baseboard 10x60 cm</t>
  </si>
  <si>
    <t>وزر 10*60 غامق</t>
  </si>
  <si>
    <t>Dark Skirting / Baseboard 10x60 cm</t>
  </si>
  <si>
    <t>وزر 10*30</t>
  </si>
  <si>
    <t>Skirting / Baseboard 10x30 cm</t>
  </si>
  <si>
    <t>كيس صلايب</t>
  </si>
  <si>
    <t>Tile Leveling Spacers Bag / Crosses Bag</t>
  </si>
  <si>
    <t>كيس غراء</t>
  </si>
  <si>
    <t>Tile Adhesive Bag</t>
  </si>
  <si>
    <t>كيس ترويبه</t>
  </si>
  <si>
    <t>Grout Bag</t>
  </si>
  <si>
    <t>EACH</t>
  </si>
  <si>
    <t>BAG</t>
  </si>
  <si>
    <t>زاوية 6 مم حبه</t>
  </si>
  <si>
    <t>جسر 6 مم حبه</t>
  </si>
  <si>
    <t>اوميجا 6 مم حبه</t>
  </si>
  <si>
    <t>سيخ تربيط م 8 حبه</t>
  </si>
  <si>
    <t>صاموله 8مم كيلو</t>
  </si>
  <si>
    <t>يو كلبس 38مم كرتون 500 حبه</t>
  </si>
  <si>
    <t>وير كلبس 38مم كرتون 500 حبه</t>
  </si>
  <si>
    <t>خابور نحاس 6مم كرتون 100 حبه</t>
  </si>
  <si>
    <t>مسمار بلاستيك مع خابور كرتون 100 حبه</t>
  </si>
  <si>
    <t>مسمار حديد ابيض 13مم بوكس 1000 حبه</t>
  </si>
  <si>
    <t>مسمار جبس اسود 25مم بوكس 1000 حبه</t>
  </si>
  <si>
    <t>جبس عادي</t>
  </si>
  <si>
    <t>جبس مقاوم للرطوبه</t>
  </si>
  <si>
    <t>اكسيس بانل 30*30</t>
  </si>
  <si>
    <t>اكسيس بانل 60*120</t>
  </si>
  <si>
    <t>فيشر كرتون 100 حبه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</si>
</sst>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4"/>
      <color theme="6" tint="-0.249977111117893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9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7" borderId="4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 wrapText="1"/>
    </xf>
    <xf numFmtId="49" fontId="0" fillId="9" borderId="4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0" fillId="10" borderId="4" xfId="0" applyNumberForma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49" fontId="0" fillId="11" borderId="4" xfId="0" applyNumberForma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5" borderId="4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49" fontId="2" fillId="9" borderId="4" xfId="0" applyNumberFormat="1" applyFont="1" applyFill="1" applyBorder="1" applyAlignment="1">
      <alignment horizontal="center" vertical="center" wrapText="1"/>
    </xf>
    <xf numFmtId="49" fontId="0" fillId="12" borderId="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6" fillId="12" borderId="4" xfId="0" applyNumberFormat="1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8" fillId="13" borderId="6" xfId="0" applyFont="1" applyFill="1" applyBorder="1"/>
    <xf numFmtId="0" fontId="10" fillId="13" borderId="6" xfId="0" applyFont="1" applyFill="1" applyBorder="1" applyAlignment="1">
      <alignment horizontal="left" vertical="center"/>
    </xf>
    <xf numFmtId="0" fontId="9" fillId="13" borderId="16" xfId="0" applyFont="1" applyFill="1" applyBorder="1" applyAlignment="1">
      <alignment horizontal="center" vertical="center" wrapText="1"/>
    </xf>
    <xf numFmtId="0" fontId="8" fillId="13" borderId="16" xfId="0" applyFont="1" applyFill="1" applyBorder="1"/>
    <xf numFmtId="0" fontId="7" fillId="8" borderId="17" xfId="0" applyFont="1" applyFill="1" applyBorder="1" applyAlignment="1">
      <alignment horizontal="center" vertical="center"/>
    </xf>
    <xf numFmtId="0" fontId="8" fillId="13" borderId="13" xfId="0" applyFont="1" applyFill="1" applyBorder="1"/>
    <xf numFmtId="0" fontId="8" fillId="13" borderId="14" xfId="0" applyFont="1" applyFill="1" applyBorder="1"/>
    <xf numFmtId="0" fontId="7" fillId="8" borderId="18" xfId="0" applyFont="1" applyFill="1" applyBorder="1" applyAlignment="1">
      <alignment horizontal="center" vertical="center" wrapText="1"/>
    </xf>
    <xf numFmtId="49" fontId="7" fillId="8" borderId="11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7" borderId="4" xfId="0" applyNumberFormat="1" applyFill="1" applyBorder="1" applyAlignment="1">
      <alignment horizontal="center" vertical="center" wrapText="1"/>
    </xf>
    <xf numFmtId="2" fontId="0" fillId="3" borderId="4" xfId="0" applyNumberFormat="1" applyFill="1" applyBorder="1" applyAlignment="1">
      <alignment horizontal="center" vertical="center" wrapText="1"/>
    </xf>
    <xf numFmtId="2" fontId="0" fillId="4" borderId="4" xfId="0" applyNumberFormat="1" applyFill="1" applyBorder="1" applyAlignment="1">
      <alignment horizontal="center" vertical="center" wrapText="1"/>
    </xf>
    <xf numFmtId="2" fontId="0" fillId="6" borderId="4" xfId="0" applyNumberFormat="1" applyFill="1" applyBorder="1" applyAlignment="1">
      <alignment horizontal="center" vertical="center" wrapText="1"/>
    </xf>
    <xf numFmtId="2" fontId="0" fillId="9" borderId="4" xfId="0" applyNumberForma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0" xfId="0" applyFill="1"/>
    <xf numFmtId="0" fontId="0" fillId="13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49" fontId="0" fillId="14" borderId="4" xfId="0" applyNumberFormat="1" applyFill="1" applyBorder="1" applyAlignment="1">
      <alignment horizontal="center" vertical="center" wrapText="1"/>
    </xf>
    <xf numFmtId="49" fontId="2" fillId="14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2" fontId="8" fillId="13" borderId="14" xfId="0" applyNumberFormat="1" applyFont="1" applyFill="1" applyBorder="1"/>
    <xf numFmtId="2" fontId="7" fillId="8" borderId="17" xfId="0" applyNumberFormat="1" applyFont="1" applyFill="1" applyBorder="1" applyAlignment="1">
      <alignment horizontal="center" vertical="center"/>
    </xf>
    <xf numFmtId="2" fontId="0" fillId="14" borderId="4" xfId="0" applyNumberFormat="1" applyFill="1" applyBorder="1" applyAlignment="1">
      <alignment horizontal="center" vertical="center" wrapText="1"/>
    </xf>
    <xf numFmtId="2" fontId="0" fillId="0" borderId="0" xfId="0" applyNumberFormat="1"/>
  </cellXfs>
  <cellStyles count="2">
    <cellStyle name="Normal" xfId="0" builtinId="0"/>
    <cellStyle name="Normal 3" xfId="1" xr:uid="{32FF89BA-722F-40AC-81E7-C4222B17DD5E}"/>
  </cellStyles>
  <dxfs count="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575;&#1604;&#1605;&#1608;&#1602;&#1601;%20&#1575;&#1604;&#1578;&#1606;&#1601;&#1610;&#1584;&#1610;/Sub-Contractor-List-SQ.xlsx" TargetMode="External"/><Relationship Id="rId2" Type="http://schemas.openxmlformats.org/officeDocument/2006/relationships/externalLinkPath" Target="https://alkbgroup-my.sharepoint.com/personal/alkb-group_alkbgroup_onmicrosoft_com/Documents/New%20volume%20(E)/Sama%20Qamra/&#1575;&#1604;&#1605;&#1608;&#1602;&#1601;%20&#1575;&#1604;&#1578;&#1606;&#1601;&#1610;&#1584;&#1610;/Sub-Contractor-List-SQ.xlsx" TargetMode="External"/><Relationship Id="rId1" Type="http://schemas.openxmlformats.org/officeDocument/2006/relationships/externalLinkPath" Target="/personal/alkb-group_alkbgroup_onmicrosoft_com/Documents/New%20volume%20(E)/Sama%20Qamra/&#1575;&#1604;&#1605;&#1608;&#1602;&#1601;%20&#1575;&#1604;&#1578;&#1606;&#1601;&#1610;&#1584;&#1610;/Sub-Contractor-List-S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aAf8ivVoEWk3y1Qolwp8litYJUPI_ZGmPAz4UdU1pEIyfCsKq2oRK0XBF82fZJN" itemId="01NRCXM6UZRZVR5LBJQBAYUFQUIKYKA5LU">
      <xxl21:absoluteUrl r:id="rId2"/>
      <xxl21:relativeUrl r:id="rId3"/>
    </xxl21:alternateUrls>
    <sheetNames>
      <sheetName val="List"/>
      <sheetName val="Links"/>
      <sheetName val="Main and Sub Contractor Matrix"/>
    </sheetNames>
    <sheetDataSet>
      <sheetData sheetId="0" refreshError="1"/>
      <sheetData sheetId="1">
        <row r="2">
          <cell r="B2" t="str">
            <v>NAME ARABIC</v>
          </cell>
        </row>
        <row r="3">
          <cell r="B3" t="str">
            <v>خليج الكوثر للتجاره والمقاولات</v>
          </cell>
          <cell r="G3" t="str">
            <v>A1</v>
          </cell>
        </row>
        <row r="4">
          <cell r="B4" t="str">
            <v>مؤسسه العماره الهندسيه</v>
          </cell>
          <cell r="G4" t="str">
            <v>E2</v>
          </cell>
        </row>
        <row r="5">
          <cell r="B5" t="str">
            <v>مؤسسه ورود حسن الكحيليني</v>
          </cell>
          <cell r="G5" t="str">
            <v>W3</v>
          </cell>
        </row>
        <row r="6">
          <cell r="B6" t="str">
            <v>مؤسسه عبد العزيز أحمد الناصر</v>
          </cell>
          <cell r="G6" t="str">
            <v>A4</v>
          </cell>
        </row>
        <row r="7">
          <cell r="B7" t="str">
            <v>مؤسسه انجاز الأثير للمقاولات</v>
          </cell>
          <cell r="G7" t="str">
            <v>I5</v>
          </cell>
        </row>
        <row r="8">
          <cell r="B8" t="str">
            <v>مؤسسه خديجة صالح سالم البلوى</v>
          </cell>
          <cell r="G8" t="str">
            <v>K6</v>
          </cell>
        </row>
        <row r="9">
          <cell r="B9" t="str">
            <v>مؤسسه تمارا المستقبل للصيانة</v>
          </cell>
          <cell r="G9" t="str">
            <v>T7</v>
          </cell>
        </row>
        <row r="10">
          <cell r="B10" t="str">
            <v>مؤسسه فلاح دريميح المطيرى</v>
          </cell>
          <cell r="G10" t="str">
            <v>F8</v>
          </cell>
        </row>
        <row r="11">
          <cell r="B11" t="str">
            <v>مؤسسه سلسبيل الصفا للتشغيل والصيانة</v>
          </cell>
          <cell r="G11" t="str">
            <v>S9</v>
          </cell>
        </row>
        <row r="12">
          <cell r="B12" t="str">
            <v>البنائيين العرب</v>
          </cell>
          <cell r="G12" t="str">
            <v>A10</v>
          </cell>
        </row>
        <row r="13">
          <cell r="B13" t="str">
            <v>الخبرات العمالية</v>
          </cell>
          <cell r="G13" t="str">
            <v>G11</v>
          </cell>
        </row>
        <row r="14">
          <cell r="B14" t="str">
            <v>منظومة إعمار(لاغى)</v>
          </cell>
          <cell r="G14" t="str">
            <v>M12</v>
          </cell>
        </row>
        <row r="15">
          <cell r="B15" t="str">
            <v>جوان الأولى</v>
          </cell>
          <cell r="G15" t="str">
            <v>G13</v>
          </cell>
        </row>
        <row r="16">
          <cell r="B16" t="str">
            <v>حسين (لاغى)</v>
          </cell>
          <cell r="G16" t="str">
            <v>H14</v>
          </cell>
        </row>
        <row r="17">
          <cell r="B17" t="str">
            <v xml:space="preserve"> على السيد</v>
          </cell>
          <cell r="G17" t="str">
            <v>A15</v>
          </cell>
        </row>
        <row r="18">
          <cell r="B18" t="str">
            <v>أحمد عصام (لاغى )</v>
          </cell>
          <cell r="G18" t="str">
            <v>A16</v>
          </cell>
        </row>
        <row r="19">
          <cell r="B19" t="str">
            <v>أحمد السوهاجى</v>
          </cell>
          <cell r="G19" t="str">
            <v>A17</v>
          </cell>
        </row>
        <row r="20">
          <cell r="B20" t="str">
            <v>مؤسسة جاسم البحار (حوالة )</v>
          </cell>
          <cell r="G20" t="str">
            <v>J18-MEP</v>
          </cell>
        </row>
        <row r="21">
          <cell r="B21" t="str">
            <v>مهندس كريم (لاغى)</v>
          </cell>
          <cell r="G21" t="str">
            <v>E19-MEP</v>
          </cell>
        </row>
        <row r="22">
          <cell r="B22" t="str">
            <v>شركة الرحاب ( لاغى)</v>
          </cell>
          <cell r="G22" t="str">
            <v>E20-MEP</v>
          </cell>
        </row>
        <row r="23">
          <cell r="B23" t="str">
            <v>سعد يونس (كاش) - المجرة الشرقية</v>
          </cell>
          <cell r="G23" t="str">
            <v>S21-MEP</v>
          </cell>
        </row>
        <row r="24">
          <cell r="G24">
            <v>0</v>
          </cell>
        </row>
        <row r="25">
          <cell r="B25" t="str">
            <v>الخبرات العمالية (حوالة )</v>
          </cell>
          <cell r="G25" t="str">
            <v>G23-MEP</v>
          </cell>
        </row>
        <row r="26">
          <cell r="B26" t="str">
            <v>المتمكن للمقاولات(حوالة )</v>
          </cell>
          <cell r="G26" t="str">
            <v>T24-MEP</v>
          </cell>
        </row>
        <row r="27">
          <cell r="B27" t="str">
            <v>مؤسسه فلاح دريميح المطيرى(لاغي)</v>
          </cell>
          <cell r="G27" t="str">
            <v>F25-MEP</v>
          </cell>
        </row>
        <row r="28">
          <cell r="B28" t="str">
            <v>مؤسسه تمارا المستقبل للصيانة (لاغي)</v>
          </cell>
          <cell r="G28" t="str">
            <v>T26-MEP</v>
          </cell>
        </row>
        <row r="29">
          <cell r="B29" t="str">
            <v>جوان الأولى(لاغي )</v>
          </cell>
          <cell r="G29" t="str">
            <v>J27-MEP</v>
          </cell>
        </row>
        <row r="30">
          <cell r="B30" t="str">
            <v>خليج الكوثر للتجاره والمقاولات MEP</v>
          </cell>
          <cell r="G30" t="str">
            <v>A28-MEP</v>
          </cell>
        </row>
        <row r="31">
          <cell r="B31" t="str">
            <v>جمال</v>
          </cell>
          <cell r="G31" t="str">
            <v>G29</v>
          </cell>
        </row>
        <row r="32">
          <cell r="B32" t="str">
            <v xml:space="preserve">مؤسسة فاطمة العليانى </v>
          </cell>
          <cell r="G32" t="str">
            <v>F30</v>
          </cell>
        </row>
        <row r="33">
          <cell r="B33" t="str">
            <v>محمد عبد الله سيد بركات ( روعة) - كاش Mep</v>
          </cell>
          <cell r="G33" t="str">
            <v>R31-MEP</v>
          </cell>
        </row>
        <row r="34">
          <cell r="B34" t="str">
            <v>محمد مجاهد (لاغى)</v>
          </cell>
          <cell r="G34" t="str">
            <v>M32-B</v>
          </cell>
        </row>
        <row r="35">
          <cell r="B35" t="str">
            <v>إسماعيل</v>
          </cell>
          <cell r="G35" t="str">
            <v>I33-B</v>
          </cell>
        </row>
        <row r="36">
          <cell r="B36" t="str">
            <v>الخبرات العمالية ( بلوك) - مقيد</v>
          </cell>
          <cell r="G36" t="str">
            <v>M34-B</v>
          </cell>
        </row>
        <row r="37">
          <cell r="B37" t="str">
            <v>كمال- (بلوك)</v>
          </cell>
          <cell r="G37" t="str">
            <v>K35-B</v>
          </cell>
        </row>
        <row r="38">
          <cell r="B38" t="str">
            <v>عبد الملك( بلوك) /شهباز</v>
          </cell>
          <cell r="G38" t="str">
            <v>A36-B</v>
          </cell>
        </row>
        <row r="39">
          <cell r="B39" t="str">
            <v>مالك( بلوك) ( لاغى)</v>
          </cell>
          <cell r="G39" t="str">
            <v>M37-B</v>
          </cell>
        </row>
        <row r="40">
          <cell r="B40" t="str">
            <v>محمد محى (كاش)(أكبر)</v>
          </cell>
          <cell r="G40" t="str">
            <v>M38-MEP</v>
          </cell>
        </row>
        <row r="41">
          <cell r="G41">
            <v>0</v>
          </cell>
        </row>
        <row r="42">
          <cell r="B42" t="str">
            <v>أحمد عصام ( نجار)</v>
          </cell>
          <cell r="G42" t="str">
            <v>A40</v>
          </cell>
        </row>
        <row r="43">
          <cell r="B43" t="str">
            <v>حسين ( نجار )</v>
          </cell>
          <cell r="G43" t="str">
            <v>H41</v>
          </cell>
        </row>
        <row r="44">
          <cell r="B44" t="str">
            <v>مصطفى (لاغى)</v>
          </cell>
          <cell r="G44" t="str">
            <v>M42</v>
          </cell>
        </row>
        <row r="45">
          <cell r="B45" t="str">
            <v xml:space="preserve">احمد العجوز ( حداد ) </v>
          </cell>
          <cell r="G45" t="str">
            <v>A45</v>
          </cell>
        </row>
        <row r="46">
          <cell r="B46" t="str">
            <v xml:space="preserve">أحمد عبد العظيم </v>
          </cell>
          <cell r="G46" t="str">
            <v>A46</v>
          </cell>
        </row>
        <row r="47">
          <cell r="B47" t="str">
            <v>جمال الباجورى (كاش)</v>
          </cell>
          <cell r="G47" t="str">
            <v>G45-Mep</v>
          </cell>
        </row>
        <row r="48">
          <cell r="B48" t="str">
            <v>شمس الحديثة (حوالة )</v>
          </cell>
          <cell r="G48" t="str">
            <v>S46-Mep</v>
          </cell>
        </row>
        <row r="49">
          <cell r="B49" t="str">
            <v>محمد مجاهد ( حداد )</v>
          </cell>
          <cell r="G49" t="str">
            <v>M47</v>
          </cell>
        </row>
        <row r="50">
          <cell r="B50" t="str">
            <v xml:space="preserve">محمد حمادة ( نجار +حداد) لاغى  </v>
          </cell>
          <cell r="G50" t="str">
            <v>M48</v>
          </cell>
        </row>
        <row r="51">
          <cell r="B51" t="str">
            <v xml:space="preserve">مصطفى ( حداد ) </v>
          </cell>
          <cell r="G51" t="str">
            <v>M49</v>
          </cell>
        </row>
        <row r="52">
          <cell r="B52" t="str">
            <v>خيرى ( حدادة + نجارة )</v>
          </cell>
          <cell r="G52" t="str">
            <v>k50</v>
          </cell>
        </row>
        <row r="53">
          <cell r="B53" t="str">
            <v>محمد الحلبى ( حداد )</v>
          </cell>
          <cell r="G53" t="str">
            <v>M51</v>
          </cell>
        </row>
        <row r="54">
          <cell r="B54" t="str">
            <v>افتخار  ( بلوك ) ( طارق)</v>
          </cell>
          <cell r="G54" t="str">
            <v>E52-B</v>
          </cell>
        </row>
        <row r="55">
          <cell r="B55" t="str">
            <v>سامى ( بلوك )</v>
          </cell>
          <cell r="G55" t="str">
            <v>S53-B</v>
          </cell>
        </row>
        <row r="56">
          <cell r="B56" t="str">
            <v xml:space="preserve">عطية ( حداد ) </v>
          </cell>
          <cell r="G56" t="str">
            <v>A54</v>
          </cell>
        </row>
        <row r="57">
          <cell r="B57" t="str">
            <v>أحمد المدنى ( حداد )</v>
          </cell>
          <cell r="G57" t="str">
            <v>A55</v>
          </cell>
        </row>
        <row r="58">
          <cell r="B58" t="str">
            <v>أسامة ( مليس )</v>
          </cell>
          <cell r="G58" t="str">
            <v>O56-P</v>
          </cell>
        </row>
        <row r="59">
          <cell r="B59" t="str">
            <v>اسلام خان ( مليس )</v>
          </cell>
          <cell r="G59" t="str">
            <v>E57-P</v>
          </cell>
        </row>
        <row r="60">
          <cell r="B60" t="str">
            <v>فازان ( مليس )</v>
          </cell>
          <cell r="G60" t="str">
            <v>F58-P</v>
          </cell>
        </row>
        <row r="61">
          <cell r="B61" t="str">
            <v>شهباز ( مليس)( عبد الملك)</v>
          </cell>
          <cell r="G61" t="str">
            <v>S59-P</v>
          </cell>
        </row>
        <row r="62">
          <cell r="B62" t="str">
            <v>احمد ذكى ( جبس )</v>
          </cell>
          <cell r="G62" t="str">
            <v>A60-C</v>
          </cell>
        </row>
        <row r="63">
          <cell r="B63" t="str">
            <v>شهباز ( MEP ) (حوالة)</v>
          </cell>
          <cell r="G63" t="str">
            <v>S61-Mep</v>
          </cell>
        </row>
        <row r="64">
          <cell r="B64" t="str">
            <v>عارف (MEP) (كاش)</v>
          </cell>
          <cell r="G64" t="str">
            <v>A62-Mep</v>
          </cell>
        </row>
        <row r="65">
          <cell r="B65" t="str">
            <v>كاشير خان  ( بلوك )</v>
          </cell>
          <cell r="G65" t="str">
            <v>K63-B</v>
          </cell>
        </row>
        <row r="66">
          <cell r="B66" t="str">
            <v>أبو ياسين ( حداد )</v>
          </cell>
          <cell r="G66" t="str">
            <v>A64</v>
          </cell>
        </row>
        <row r="67">
          <cell r="B67" t="str">
            <v>صالح (شدة معدنية)</v>
          </cell>
          <cell r="G67" t="str">
            <v>S65</v>
          </cell>
        </row>
        <row r="68">
          <cell r="B68" t="str">
            <v>زى شان (بلوك)</v>
          </cell>
          <cell r="G68" t="str">
            <v>Z66-B</v>
          </cell>
        </row>
        <row r="69">
          <cell r="B69" t="str">
            <v>فهد معدات ( كور)</v>
          </cell>
          <cell r="G69" t="str">
            <v>F67-Mep</v>
          </cell>
        </row>
        <row r="70">
          <cell r="B70" t="str">
            <v>على قنديل (بلوك) - وليد شعبان</v>
          </cell>
          <cell r="G70" t="str">
            <v>A68-B</v>
          </cell>
        </row>
        <row r="71">
          <cell r="B71" t="str">
            <v>مؤسسه ورود حسن الكحيليني</v>
          </cell>
          <cell r="G71" t="str">
            <v>W69-B</v>
          </cell>
        </row>
        <row r="72">
          <cell r="B72" t="str">
            <v>كاشير خان  (مليس)</v>
          </cell>
          <cell r="G72" t="str">
            <v>K70-P</v>
          </cell>
        </row>
        <row r="73">
          <cell r="B73" t="str">
            <v>رفعت (مليس)</v>
          </cell>
          <cell r="G73" t="str">
            <v>R71-P</v>
          </cell>
        </row>
        <row r="74">
          <cell r="B74" t="str">
            <v>ياسر (دهان)</v>
          </cell>
          <cell r="G74" t="str">
            <v>Y72-PA</v>
          </cell>
        </row>
        <row r="75">
          <cell r="B75" t="str">
            <v>أكبر ( سباك)(لاغى)</v>
          </cell>
          <cell r="G75" t="str">
            <v>A73-MEP</v>
          </cell>
        </row>
        <row r="76">
          <cell r="B76" t="str">
            <v>تبيان (MEP)</v>
          </cell>
          <cell r="G76" t="str">
            <v>T74-MEP</v>
          </cell>
        </row>
        <row r="77">
          <cell r="B77" t="str">
            <v>مزمل (MEP)</v>
          </cell>
          <cell r="G77" t="str">
            <v>M75-MEP</v>
          </cell>
        </row>
        <row r="78">
          <cell r="B78" t="str">
            <v>محمد يونس (مليس)</v>
          </cell>
          <cell r="G78" t="str">
            <v>M76-P</v>
          </cell>
        </row>
        <row r="79">
          <cell r="B79" t="str">
            <v>إيمان راشد للمقاولات ( تشطيبات)</v>
          </cell>
          <cell r="G79" t="str">
            <v>E77</v>
          </cell>
        </row>
        <row r="80">
          <cell r="B80" t="str">
            <v>التراث الشرقى</v>
          </cell>
          <cell r="G80" t="str">
            <v>T78</v>
          </cell>
        </row>
        <row r="81">
          <cell r="B81" t="str">
            <v>نسر مصر (MEP)</v>
          </cell>
          <cell r="G81" t="str">
            <v>E79-MEP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D3F0-C022-4F96-A8B4-3EBE02F49BFA}">
  <sheetPr>
    <tabColor rgb="FFFFC000"/>
    <pageSetUpPr fitToPage="1"/>
  </sheetPr>
  <dimension ref="A1:AP505"/>
  <sheetViews>
    <sheetView view="pageBreakPreview" zoomScale="70" zoomScaleNormal="85" zoomScaleSheetLayoutView="70" workbookViewId="0">
      <selection activeCell="I10" sqref="I10"/>
    </sheetView>
  </sheetViews>
  <sheetFormatPr defaultRowHeight="18.75" x14ac:dyDescent="0.25"/>
  <cols>
    <col min="1" max="1" width="14.7109375" style="30" customWidth="1"/>
    <col min="2" max="2" width="24.42578125" style="21" customWidth="1"/>
    <col min="3" max="3" width="12.42578125" style="21" customWidth="1"/>
    <col min="4" max="4" width="34.85546875" style="21" customWidth="1"/>
    <col min="5" max="5" width="21.42578125" style="21" customWidth="1"/>
    <col min="6" max="6" width="22.140625" style="34" customWidth="1"/>
    <col min="7" max="7" width="22.140625" style="21" customWidth="1"/>
    <col min="8" max="8" width="11.7109375" style="21" customWidth="1"/>
    <col min="9" max="12" width="33.7109375" style="21" customWidth="1"/>
    <col min="13" max="13" width="9.140625" style="16" customWidth="1"/>
    <col min="14" max="42" width="9.140625" style="16"/>
    <col min="43" max="16384" width="9.140625" style="1"/>
  </cols>
  <sheetData>
    <row r="1" spans="1:42" s="2" customFormat="1" ht="38.25" thickBot="1" x14ac:dyDescent="0.3">
      <c r="A1" s="55" t="s">
        <v>0</v>
      </c>
      <c r="B1" s="28" t="s">
        <v>1</v>
      </c>
      <c r="C1" s="28" t="s">
        <v>37</v>
      </c>
      <c r="D1" s="28" t="s">
        <v>38</v>
      </c>
      <c r="E1" s="28" t="s">
        <v>39</v>
      </c>
      <c r="F1" s="32" t="s">
        <v>40</v>
      </c>
      <c r="G1" s="28" t="s">
        <v>41</v>
      </c>
      <c r="H1" s="50" t="s">
        <v>1233</v>
      </c>
      <c r="I1" s="50" t="s">
        <v>42</v>
      </c>
      <c r="J1" s="28" t="s">
        <v>43</v>
      </c>
      <c r="K1" s="28" t="s">
        <v>44</v>
      </c>
      <c r="L1" s="28" t="s">
        <v>1234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30" x14ac:dyDescent="0.25">
      <c r="A2" s="56" t="str" cm="1">
        <f t="array" ref="A2:L505">'SUB-C MAT Deductions'!A3:L506</f>
        <v>00</v>
      </c>
      <c r="B2" s="20" t="str">
        <v>Procurement and Contracting Requirements</v>
      </c>
      <c r="C2" s="20" t="str">
        <v>70</v>
      </c>
      <c r="D2" s="20" t="str">
        <v>Project Closeouts</v>
      </c>
      <c r="E2" s="20" t="str">
        <v>10.01</v>
      </c>
      <c r="F2" s="33" t="str">
        <v>مخالفات الموقع</v>
      </c>
      <c r="G2" s="20" t="str">
        <v>Site Violations</v>
      </c>
      <c r="H2" s="20" t="str">
        <v>01</v>
      </c>
      <c r="I2" s="20" t="str">
        <v>00 70 10.0101</v>
      </c>
      <c r="J2" s="20" t="str">
        <v>NOT FOLLOW PPE</v>
      </c>
      <c r="K2" s="20" t="str">
        <v>NOT FOLLOW PPE</v>
      </c>
      <c r="L2" s="20">
        <v>0</v>
      </c>
    </row>
    <row r="3" spans="1:42" ht="30" x14ac:dyDescent="0.25">
      <c r="A3" s="30" t="str">
        <v>00</v>
      </c>
      <c r="B3" s="21" t="str">
        <v>Procurement and Contracting Requirements</v>
      </c>
      <c r="C3" s="21" t="str">
        <v>70</v>
      </c>
      <c r="D3" s="21" t="str">
        <v>Project Closeouts</v>
      </c>
      <c r="E3" s="21" t="str">
        <v>10.01</v>
      </c>
      <c r="F3" s="34" t="str">
        <v>مخالفات الموقع</v>
      </c>
      <c r="G3" s="21" t="str">
        <v>Site Violations</v>
      </c>
      <c r="H3" s="21" t="str">
        <v>02</v>
      </c>
      <c r="I3" s="21" t="str">
        <v>00 70 10.0102</v>
      </c>
      <c r="J3" s="21" t="str">
        <v>أجور العمالة الخارجية</v>
      </c>
      <c r="K3" s="21" t="str">
        <v>External Labor Wages</v>
      </c>
      <c r="L3" s="21">
        <v>0</v>
      </c>
    </row>
    <row r="4" spans="1:42" ht="30" x14ac:dyDescent="0.25">
      <c r="A4" s="30" t="str">
        <v>00</v>
      </c>
      <c r="B4" s="21" t="str">
        <v>Procurement and Contracting Requirements</v>
      </c>
      <c r="C4" s="21" t="str">
        <v>70</v>
      </c>
      <c r="D4" s="21" t="str">
        <v>Project Closeouts</v>
      </c>
      <c r="E4" s="21" t="str">
        <v>10.01</v>
      </c>
      <c r="F4" s="34" t="str">
        <v>مخالفات الموقع</v>
      </c>
      <c r="G4" s="21" t="str">
        <v>Site Violations</v>
      </c>
      <c r="H4" s="21" t="str">
        <v>03</v>
      </c>
      <c r="I4" s="21" t="str">
        <v>00 70 10.0103</v>
      </c>
      <c r="J4" s="21" t="str">
        <v>خصم كميات أعمال لم تنفذ طبقا للعقد</v>
      </c>
      <c r="K4" s="21" t="str">
        <v>Deduction for Uncompleted Work per Contract</v>
      </c>
      <c r="L4" s="21">
        <v>0</v>
      </c>
    </row>
    <row r="5" spans="1:42" ht="30" x14ac:dyDescent="0.25">
      <c r="A5" s="30" t="str">
        <v>00</v>
      </c>
      <c r="B5" s="21" t="str">
        <v>Procurement and Contracting Requirements</v>
      </c>
      <c r="C5" s="21" t="str">
        <v>70</v>
      </c>
      <c r="D5" s="21" t="str">
        <v>Project Closeouts</v>
      </c>
      <c r="E5" s="21" t="str">
        <v>10.01</v>
      </c>
      <c r="F5" s="34" t="str">
        <v>مخالفات الموقع</v>
      </c>
      <c r="G5" s="21" t="str">
        <v>Site Violations</v>
      </c>
      <c r="H5" s="21" t="str">
        <v>04</v>
      </c>
      <c r="I5" s="21" t="str">
        <v>00 70 10.0104</v>
      </c>
      <c r="J5" s="21" t="str">
        <v>خصم قيمة معالجة الخرسانات</v>
      </c>
      <c r="K5" s="21" t="str">
        <v>Deduction for Concrete Treatment</v>
      </c>
      <c r="L5" s="21">
        <v>0</v>
      </c>
    </row>
    <row r="6" spans="1:42" ht="30" x14ac:dyDescent="0.25">
      <c r="A6" s="30" t="str">
        <v>00</v>
      </c>
      <c r="B6" s="21" t="str">
        <v>Procurement and Contracting Requirements</v>
      </c>
      <c r="C6" s="21" t="str">
        <v>70</v>
      </c>
      <c r="D6" s="21" t="str">
        <v>Project Closeouts</v>
      </c>
      <c r="E6" s="21" t="str">
        <v>10.01</v>
      </c>
      <c r="F6" s="34" t="str">
        <v>مخالفات الموقع</v>
      </c>
      <c r="G6" s="21" t="str">
        <v>Site Violations</v>
      </c>
      <c r="H6" s="21" t="str">
        <v>05</v>
      </c>
      <c r="I6" s="21" t="str">
        <v>00 70 10.0105</v>
      </c>
      <c r="J6" s="21" t="str">
        <v>اضافه فرق اعمال</v>
      </c>
      <c r="K6" s="21" t="str">
        <v>Additional Work Differences</v>
      </c>
      <c r="L6" s="21">
        <v>0</v>
      </c>
    </row>
    <row r="7" spans="1:42" ht="30" x14ac:dyDescent="0.25">
      <c r="A7" s="30" t="str">
        <v>00</v>
      </c>
      <c r="B7" s="21" t="str">
        <v>Procurement and Contracting Requirements</v>
      </c>
      <c r="C7" s="21" t="str">
        <v>70</v>
      </c>
      <c r="D7" s="21" t="str">
        <v>Project Closeouts</v>
      </c>
      <c r="E7" s="21" t="str">
        <v>10.01</v>
      </c>
      <c r="F7" s="34" t="str">
        <v>مخالفات الموقع</v>
      </c>
      <c r="G7" s="21" t="str">
        <v>Site Violations</v>
      </c>
      <c r="H7" s="21" t="str">
        <v>06</v>
      </c>
      <c r="I7" s="21" t="str">
        <v>00 70 10.0106</v>
      </c>
      <c r="J7" s="21" t="str">
        <v>خصم اخشاب نسبة هالك</v>
      </c>
      <c r="K7" s="21" t="str">
        <v>Deduction for Wood Wastage Percentage</v>
      </c>
      <c r="L7" s="21">
        <v>0</v>
      </c>
    </row>
    <row r="8" spans="1:42" x14ac:dyDescent="0.25">
      <c r="A8" s="30" t="str">
        <v>01</v>
      </c>
      <c r="B8" s="21" t="str">
        <v>General Requirements</v>
      </c>
      <c r="C8" s="21" t="str">
        <v>50</v>
      </c>
      <c r="D8" s="21" t="str">
        <v>Temporary Facilities and Controls</v>
      </c>
      <c r="E8" s="21" t="str">
        <v>00.10</v>
      </c>
      <c r="F8" s="34" t="str">
        <v>المياه</v>
      </c>
      <c r="G8" s="21" t="str">
        <v>Water</v>
      </c>
      <c r="H8" s="21" t="str">
        <v>01</v>
      </c>
      <c r="I8" s="21" t="str">
        <v>01 50 00.1001</v>
      </c>
      <c r="J8" s="21" t="str">
        <v>تنكر مياه</v>
      </c>
      <c r="K8" s="21" t="str">
        <v>Water tanker</v>
      </c>
      <c r="L8" s="21">
        <v>0</v>
      </c>
    </row>
    <row r="9" spans="1:42" x14ac:dyDescent="0.25">
      <c r="A9" s="30" t="str">
        <v>01</v>
      </c>
      <c r="B9" s="21" t="str">
        <v>General Requirements</v>
      </c>
      <c r="C9" s="21" t="str">
        <v>70</v>
      </c>
      <c r="D9" s="21" t="str">
        <v>Execution and Closeout Requirements</v>
      </c>
      <c r="E9" s="21" t="str">
        <v>00.10</v>
      </c>
      <c r="F9" s="34" t="str">
        <v>أوفر تيم الاستشاري</v>
      </c>
      <c r="G9" s="21" t="str">
        <v>Consultant Overtime</v>
      </c>
      <c r="H9" s="21" t="str">
        <v>01</v>
      </c>
      <c r="I9" s="21" t="str">
        <v>01 70 00.1001</v>
      </c>
      <c r="J9" s="21" t="str">
        <v>مهندس</v>
      </c>
      <c r="K9" s="21" t="str">
        <v>Engineer</v>
      </c>
      <c r="L9" s="21">
        <v>0</v>
      </c>
    </row>
    <row r="10" spans="1:42" x14ac:dyDescent="0.25">
      <c r="A10" s="30" t="str">
        <v>01</v>
      </c>
      <c r="B10" s="21" t="str">
        <v>General Requirements</v>
      </c>
      <c r="C10" s="21" t="str">
        <v>70</v>
      </c>
      <c r="D10" s="21" t="str">
        <v>Execution and Closeout Requirements</v>
      </c>
      <c r="E10" s="21" t="str">
        <v>00.10</v>
      </c>
      <c r="F10" s="34" t="str">
        <v>أوفر تيم الاستشاري</v>
      </c>
      <c r="G10" s="21" t="str">
        <v>Consultant Overtime</v>
      </c>
      <c r="H10" s="21" t="str">
        <v>02</v>
      </c>
      <c r="I10" s="21" t="str">
        <v>01 70 00.1002</v>
      </c>
      <c r="J10" s="21" t="str">
        <v>فورمان</v>
      </c>
      <c r="K10" s="21" t="str">
        <v>Foreman</v>
      </c>
      <c r="L10" s="21">
        <v>0</v>
      </c>
    </row>
    <row r="11" spans="1:42" x14ac:dyDescent="0.25">
      <c r="A11" s="30" t="str">
        <v>01</v>
      </c>
      <c r="B11" s="21" t="str">
        <v>General Requirements</v>
      </c>
      <c r="C11" s="21" t="str">
        <v>70</v>
      </c>
      <c r="D11" s="21" t="str">
        <v>Execution and Closeout Requirements</v>
      </c>
      <c r="E11" s="21" t="str">
        <v>00.10</v>
      </c>
      <c r="F11" s="34" t="str">
        <v>أوفر تيم الاستشاري</v>
      </c>
      <c r="G11" s="21" t="str">
        <v>Consultant Overtime</v>
      </c>
      <c r="H11" s="21" t="str">
        <v>03</v>
      </c>
      <c r="I11" s="21" t="str">
        <v>01 70 00.1003</v>
      </c>
      <c r="J11" s="21" t="str">
        <v>مساح</v>
      </c>
      <c r="K11" s="21" t="str">
        <v>Surveyor</v>
      </c>
      <c r="L11" s="21">
        <v>0</v>
      </c>
    </row>
    <row r="12" spans="1:42" x14ac:dyDescent="0.25">
      <c r="A12" s="30" t="str">
        <v>01</v>
      </c>
      <c r="B12" s="21" t="str">
        <v>General Requirements</v>
      </c>
      <c r="C12" s="21" t="str">
        <v>70</v>
      </c>
      <c r="D12" s="21" t="str">
        <v>Execution and Closeout Requirements</v>
      </c>
      <c r="E12" s="21" t="str">
        <v>00.10</v>
      </c>
      <c r="F12" s="34" t="str">
        <v>أوفر تيم الاستشاري</v>
      </c>
      <c r="G12" s="21" t="str">
        <v>Consultant Overtime</v>
      </c>
      <c r="H12" s="21" t="str">
        <v>04</v>
      </c>
      <c r="I12" s="21" t="str">
        <v>01 70 00.1004</v>
      </c>
      <c r="J12" s="21" t="str">
        <v>مراقب كهرباء</v>
      </c>
      <c r="K12" s="21" t="str">
        <v>Electrical Inspector</v>
      </c>
      <c r="L12" s="21">
        <v>0</v>
      </c>
    </row>
    <row r="13" spans="1:42" x14ac:dyDescent="0.25">
      <c r="A13" s="30" t="str">
        <v>01</v>
      </c>
      <c r="B13" s="21" t="str">
        <v>General Requirements</v>
      </c>
      <c r="C13" s="21" t="str">
        <v>70</v>
      </c>
      <c r="D13" s="21" t="str">
        <v>Execution and Closeout Requirements</v>
      </c>
      <c r="E13" s="21" t="str">
        <v>00.10</v>
      </c>
      <c r="F13" s="34" t="str">
        <v>أوفر تيم الاستشاري</v>
      </c>
      <c r="G13" s="21" t="str">
        <v>Consultant Overtime</v>
      </c>
      <c r="H13" s="21" t="str">
        <v>05</v>
      </c>
      <c r="I13" s="21" t="str">
        <v>01 70 00.1005</v>
      </c>
      <c r="J13" s="21" t="str">
        <v>مراقب ميكانيكا</v>
      </c>
      <c r="K13" s="21" t="str">
        <v>Mechanical Inspector</v>
      </c>
      <c r="L13" s="21">
        <v>0</v>
      </c>
    </row>
    <row r="14" spans="1:42" x14ac:dyDescent="0.25">
      <c r="A14" s="30" t="str">
        <v>01</v>
      </c>
      <c r="B14" s="21" t="str">
        <v>General Requirements</v>
      </c>
      <c r="C14" s="21" t="str">
        <v>70</v>
      </c>
      <c r="D14" s="21" t="str">
        <v>Execution and Closeout Requirements</v>
      </c>
      <c r="E14" s="21" t="str">
        <v>00.20</v>
      </c>
      <c r="F14" s="34" t="str">
        <v>معدات السلامه</v>
      </c>
      <c r="G14" s="21" t="str">
        <v>Safety Equipment</v>
      </c>
      <c r="H14" s="21" t="str">
        <v>01</v>
      </c>
      <c r="I14" s="21" t="str">
        <v>01 70 00.2001</v>
      </c>
      <c r="J14" s="21" t="str">
        <v>VEST FOR Eng.</v>
      </c>
      <c r="K14" s="21" t="str">
        <v>Engineer Vest</v>
      </c>
      <c r="L14" s="21">
        <v>0</v>
      </c>
    </row>
    <row r="15" spans="1:42" x14ac:dyDescent="0.25">
      <c r="A15" s="30" t="str">
        <v>01</v>
      </c>
      <c r="B15" s="21" t="str">
        <v>General Requirements</v>
      </c>
      <c r="C15" s="21" t="str">
        <v>70</v>
      </c>
      <c r="D15" s="21" t="str">
        <v>Execution and Closeout Requirements</v>
      </c>
      <c r="E15" s="21" t="str">
        <v>00.20</v>
      </c>
      <c r="F15" s="34" t="str">
        <v>معدات السلامه</v>
      </c>
      <c r="G15" s="21" t="str">
        <v>Safety Equipment</v>
      </c>
      <c r="H15" s="21" t="str">
        <v>02</v>
      </c>
      <c r="I15" s="21" t="str">
        <v>01 70 00.2002</v>
      </c>
      <c r="J15" s="21" t="str">
        <v>VEST FOR FORMAN</v>
      </c>
      <c r="K15" s="21" t="str">
        <v>Foreman Vest</v>
      </c>
      <c r="L15" s="21">
        <v>0</v>
      </c>
    </row>
    <row r="16" spans="1:42" x14ac:dyDescent="0.25">
      <c r="A16" s="30" t="str">
        <v>01</v>
      </c>
      <c r="B16" s="21" t="str">
        <v>General Requirements</v>
      </c>
      <c r="C16" s="21" t="str">
        <v>70</v>
      </c>
      <c r="D16" s="21" t="str">
        <v>Execution and Closeout Requirements</v>
      </c>
      <c r="E16" s="21" t="str">
        <v>00.20</v>
      </c>
      <c r="F16" s="34" t="str">
        <v>معدات السلامه</v>
      </c>
      <c r="G16" s="21" t="str">
        <v>Safety Equipment</v>
      </c>
      <c r="H16" s="21" t="str">
        <v>03</v>
      </c>
      <c r="I16" s="21" t="str">
        <v>01 70 00.2003</v>
      </c>
      <c r="J16" s="21" t="str">
        <v>VEST FOR LABOUR</v>
      </c>
      <c r="K16" s="21" t="str">
        <v>Labor Vest</v>
      </c>
      <c r="L16" s="21">
        <v>0</v>
      </c>
    </row>
    <row r="17" spans="1:12" x14ac:dyDescent="0.25">
      <c r="A17" s="30" t="str">
        <v>01</v>
      </c>
      <c r="B17" s="21" t="str">
        <v>General Requirements</v>
      </c>
      <c r="C17" s="21" t="str">
        <v>70</v>
      </c>
      <c r="D17" s="21" t="str">
        <v>Execution and Closeout Requirements</v>
      </c>
      <c r="E17" s="21" t="str">
        <v>00.20</v>
      </c>
      <c r="F17" s="34" t="str">
        <v>معدات السلامه</v>
      </c>
      <c r="G17" s="21" t="str">
        <v>Safety Equipment</v>
      </c>
      <c r="H17" s="21" t="str">
        <v>04</v>
      </c>
      <c r="I17" s="21" t="str">
        <v>01 70 00.2004</v>
      </c>
      <c r="J17" s="21" t="str">
        <v>Helmet</v>
      </c>
      <c r="K17" s="21" t="str">
        <v>Helmet</v>
      </c>
      <c r="L17" s="21">
        <v>0</v>
      </c>
    </row>
    <row r="18" spans="1:12" x14ac:dyDescent="0.25">
      <c r="A18" s="30" t="str">
        <v>01</v>
      </c>
      <c r="B18" s="21" t="str">
        <v>General Requirements</v>
      </c>
      <c r="C18" s="21" t="str">
        <v>70</v>
      </c>
      <c r="D18" s="21" t="str">
        <v>Execution and Closeout Requirements</v>
      </c>
      <c r="E18" s="21" t="str">
        <v>00.20</v>
      </c>
      <c r="F18" s="34" t="str">
        <v>معدات السلامه</v>
      </c>
      <c r="G18" s="21" t="str">
        <v>Safety Equipment</v>
      </c>
      <c r="H18" s="21" t="str">
        <v>05</v>
      </c>
      <c r="I18" s="21" t="str">
        <v>01 70 00.2005</v>
      </c>
      <c r="J18" s="21" t="str">
        <v>SAFETY SHOES</v>
      </c>
      <c r="K18" s="21" t="str">
        <v>Safety Shoes</v>
      </c>
      <c r="L18" s="21">
        <v>0</v>
      </c>
    </row>
    <row r="19" spans="1:12" x14ac:dyDescent="0.25">
      <c r="A19" s="30" t="str">
        <v>01</v>
      </c>
      <c r="B19" s="21" t="str">
        <v>General Requirements</v>
      </c>
      <c r="C19" s="21" t="str">
        <v>70</v>
      </c>
      <c r="D19" s="21" t="str">
        <v>Execution and Closeout Requirements</v>
      </c>
      <c r="E19" s="21" t="str">
        <v>00.20</v>
      </c>
      <c r="F19" s="34" t="str">
        <v>معدات السلامه</v>
      </c>
      <c r="G19" s="21" t="str">
        <v>Safety Equipment</v>
      </c>
      <c r="H19" s="21" t="str">
        <v>07</v>
      </c>
      <c r="I19" s="21" t="str">
        <v>01 70 00.2007</v>
      </c>
      <c r="J19" s="21" t="str">
        <v>SAFETY GLASS</v>
      </c>
      <c r="K19" s="21" t="str">
        <v>Safety Glasses</v>
      </c>
      <c r="L19" s="21">
        <v>0</v>
      </c>
    </row>
    <row r="20" spans="1:12" x14ac:dyDescent="0.25">
      <c r="A20" s="30" t="str">
        <v>01</v>
      </c>
      <c r="B20" s="21" t="str">
        <v>General Requirements</v>
      </c>
      <c r="C20" s="21" t="str">
        <v>70</v>
      </c>
      <c r="D20" s="21" t="str">
        <v>Execution and Closeout Requirements</v>
      </c>
      <c r="E20" s="21" t="str">
        <v>00.20</v>
      </c>
      <c r="F20" s="34" t="str">
        <v>معدات السلامه</v>
      </c>
      <c r="G20" s="21" t="str">
        <v>Safety Equipment</v>
      </c>
      <c r="H20" s="21" t="str">
        <v>08</v>
      </c>
      <c r="I20" s="21" t="str">
        <v>01 70 00.2008</v>
      </c>
      <c r="J20" s="21" t="str">
        <v>HAND GLOVES</v>
      </c>
      <c r="K20" s="21" t="str">
        <v>Hand Gloves</v>
      </c>
      <c r="L20" s="21">
        <v>0</v>
      </c>
    </row>
    <row r="21" spans="1:12" x14ac:dyDescent="0.25">
      <c r="A21" s="30" t="str">
        <v>01</v>
      </c>
      <c r="B21" s="21" t="str">
        <v>General Requirements</v>
      </c>
      <c r="C21" s="21" t="str">
        <v>70</v>
      </c>
      <c r="D21" s="21" t="str">
        <v>Execution and Closeout Requirements</v>
      </c>
      <c r="E21" s="21" t="str">
        <v>00.20</v>
      </c>
      <c r="F21" s="34" t="str">
        <v>معدات السلامه</v>
      </c>
      <c r="G21" s="21" t="str">
        <v>Safety Equipment</v>
      </c>
      <c r="H21" s="21" t="str">
        <v>09</v>
      </c>
      <c r="I21" s="21" t="str">
        <v>01 70 00.2009</v>
      </c>
      <c r="J21" s="21" t="str">
        <v>UNIFORM</v>
      </c>
      <c r="K21" s="21" t="str">
        <v>Uniform</v>
      </c>
      <c r="L21" s="21">
        <v>0</v>
      </c>
    </row>
    <row r="22" spans="1:12" x14ac:dyDescent="0.25">
      <c r="A22" s="30" t="str">
        <v>01</v>
      </c>
      <c r="B22" s="21" t="str">
        <v>General Requirements</v>
      </c>
      <c r="C22" s="21" t="str">
        <v>70</v>
      </c>
      <c r="D22" s="21" t="str">
        <v>Execution and Closeout Requirements</v>
      </c>
      <c r="E22" s="21" t="str">
        <v>00.20</v>
      </c>
      <c r="F22" s="34" t="str">
        <v>معدات السلامه</v>
      </c>
      <c r="G22" s="21" t="str">
        <v>Safety Equipment</v>
      </c>
      <c r="H22" s="21" t="str">
        <v>10</v>
      </c>
      <c r="I22" s="21" t="str">
        <v>01 70 00.2010</v>
      </c>
      <c r="J22" s="21" t="str">
        <v>حزام امان</v>
      </c>
      <c r="K22" s="21" t="str">
        <v>Safety Belt</v>
      </c>
      <c r="L22" s="21">
        <v>0</v>
      </c>
    </row>
    <row r="23" spans="1:12" x14ac:dyDescent="0.25">
      <c r="A23" s="30" t="str">
        <v>03</v>
      </c>
      <c r="B23" s="21" t="str">
        <v>Concrete</v>
      </c>
      <c r="C23" s="21" t="str">
        <v>05</v>
      </c>
      <c r="D23" s="21" t="str">
        <v>Common Work Results for Concrete</v>
      </c>
      <c r="E23" s="21" t="str">
        <v>00.10</v>
      </c>
      <c r="F23" s="34" t="str">
        <v>الاسمنت</v>
      </c>
      <c r="G23" s="21" t="str">
        <v>Cement</v>
      </c>
      <c r="H23" s="21" t="str">
        <v>01</v>
      </c>
      <c r="I23" s="21" t="str">
        <v>03 05 00.1001</v>
      </c>
      <c r="J23" s="21" t="str">
        <v>الاسمنت العادي</v>
      </c>
      <c r="K23" s="21" t="str">
        <v>Ordinary Cement</v>
      </c>
      <c r="L23" s="21" t="str">
        <v>Bag</v>
      </c>
    </row>
    <row r="24" spans="1:12" x14ac:dyDescent="0.25">
      <c r="A24" s="30" t="str">
        <v>03</v>
      </c>
      <c r="B24" s="21" t="str">
        <v>Concrete</v>
      </c>
      <c r="C24" s="21" t="str">
        <v>05</v>
      </c>
      <c r="D24" s="21" t="str">
        <v>Common Work Results for Concrete</v>
      </c>
      <c r="E24" s="21" t="str">
        <v>00.10</v>
      </c>
      <c r="F24" s="34" t="str">
        <v>الاسمنت</v>
      </c>
      <c r="G24" s="21" t="str">
        <v>Cement</v>
      </c>
      <c r="H24" s="21" t="str">
        <v>02</v>
      </c>
      <c r="I24" s="21" t="str">
        <v>03 05 00.1002</v>
      </c>
      <c r="J24" s="21" t="str">
        <v>أسمنت مقاوم</v>
      </c>
      <c r="K24" s="21" t="str">
        <v>Sulfate Resisting Cement</v>
      </c>
      <c r="L24" s="21" t="str">
        <v>Bag</v>
      </c>
    </row>
    <row r="25" spans="1:12" x14ac:dyDescent="0.25">
      <c r="A25" s="30" t="str">
        <v>03</v>
      </c>
      <c r="B25" s="21" t="str">
        <v>Concrete</v>
      </c>
      <c r="C25" s="21" t="str">
        <v>05</v>
      </c>
      <c r="D25" s="21" t="str">
        <v>Common Work Results for Concrete</v>
      </c>
      <c r="E25" s="21" t="str">
        <v>00.10</v>
      </c>
      <c r="F25" s="34" t="str">
        <v>الاسمنت</v>
      </c>
      <c r="G25" s="21" t="str">
        <v>Cement</v>
      </c>
      <c r="H25" s="21" t="str">
        <v>03</v>
      </c>
      <c r="I25" s="21" t="str">
        <v>03 05 00.1003</v>
      </c>
      <c r="J25" s="21" t="str">
        <v>أسمنت تشطيب عادي</v>
      </c>
      <c r="K25" s="21" t="str">
        <v>Ordinary Finishing Cement</v>
      </c>
      <c r="L25" s="21" t="str">
        <v>Bag</v>
      </c>
    </row>
    <row r="26" spans="1:12" x14ac:dyDescent="0.25">
      <c r="A26" s="30" t="str">
        <v>03</v>
      </c>
      <c r="B26" s="21" t="str">
        <v>Concrete</v>
      </c>
      <c r="C26" s="21" t="str">
        <v>05</v>
      </c>
      <c r="D26" s="21" t="str">
        <v>Common Work Results for Concrete</v>
      </c>
      <c r="E26" s="21" t="str">
        <v>00.10</v>
      </c>
      <c r="F26" s="34" t="str">
        <v>الاسمنت</v>
      </c>
      <c r="G26" s="21" t="str">
        <v>Cement</v>
      </c>
      <c r="H26" s="21" t="str">
        <v>04</v>
      </c>
      <c r="I26" s="21" t="str">
        <v>03 05 00.1004</v>
      </c>
      <c r="J26" s="21" t="str">
        <v>أسمنت تشطيب مقاوم</v>
      </c>
      <c r="K26" s="21" t="str">
        <v>Resistant Finishing Cement</v>
      </c>
      <c r="L26" s="21" t="str">
        <v>Bag</v>
      </c>
    </row>
    <row r="27" spans="1:12" x14ac:dyDescent="0.25">
      <c r="A27" s="30" t="str">
        <v>03</v>
      </c>
      <c r="B27" s="21" t="str">
        <v>Concrete</v>
      </c>
      <c r="C27" s="21" t="str">
        <v>10</v>
      </c>
      <c r="D27" s="21" t="str">
        <v>Concrete Forming and Accessories</v>
      </c>
      <c r="E27" s="21" t="str">
        <v>00.10</v>
      </c>
      <c r="F27" s="34" t="str">
        <v>الخشب</v>
      </c>
      <c r="G27" s="21" t="str">
        <v>Wood &amp; Formwork</v>
      </c>
      <c r="H27" s="21" t="str">
        <v>01</v>
      </c>
      <c r="I27" s="21" t="str">
        <v>03 10 00.1001</v>
      </c>
      <c r="J27" s="21" t="str">
        <v>بليوود 120 سم</v>
      </c>
      <c r="K27" s="21" t="str">
        <v>Plywood 1220 X 2440</v>
      </c>
      <c r="L27" s="21" t="str">
        <v>Piece</v>
      </c>
    </row>
    <row r="28" spans="1:12" x14ac:dyDescent="0.25">
      <c r="A28" s="30" t="str">
        <v>03</v>
      </c>
      <c r="B28" s="21" t="str">
        <v>Concrete</v>
      </c>
      <c r="C28" s="21" t="str">
        <v>10</v>
      </c>
      <c r="D28" s="21" t="str">
        <v>Concrete Forming and Accessories</v>
      </c>
      <c r="E28" s="21" t="str">
        <v>00.10</v>
      </c>
      <c r="F28" s="34" t="str">
        <v>الخشب</v>
      </c>
      <c r="G28" s="21" t="str">
        <v>Wood &amp; Formwork</v>
      </c>
      <c r="H28" s="21" t="str">
        <v>02</v>
      </c>
      <c r="I28" s="21" t="str">
        <v>03 10 00.1002</v>
      </c>
      <c r="J28" s="21" t="str">
        <v>مرابيع 7 * 7 * 3</v>
      </c>
      <c r="K28" s="21" t="str">
        <v>Wood 3"x3"x7 pieces</v>
      </c>
      <c r="L28" s="21" t="str">
        <v>Piece</v>
      </c>
    </row>
    <row r="29" spans="1:12" ht="30" x14ac:dyDescent="0.25">
      <c r="A29" s="30" t="str">
        <v>03</v>
      </c>
      <c r="B29" s="21" t="str">
        <v>Concrete</v>
      </c>
      <c r="C29" s="21" t="str">
        <v>10</v>
      </c>
      <c r="D29" s="21" t="str">
        <v>Concrete Forming and Accessories</v>
      </c>
      <c r="E29" s="21" t="str">
        <v>00.10</v>
      </c>
      <c r="F29" s="34" t="str">
        <v>الخشب</v>
      </c>
      <c r="G29" s="21" t="str">
        <v>Wood &amp; Formwork</v>
      </c>
      <c r="H29" s="21" t="str">
        <v>03</v>
      </c>
      <c r="I29" s="21" t="str">
        <v>03 10 00.1003</v>
      </c>
      <c r="J29" s="21" t="str">
        <v>PLYWOOD SIZE : 2.44 X 120 CM 18 MM, GREEN COLOR, YOSR BRAND</v>
      </c>
      <c r="K29" s="21" t="str">
        <v>PLYWOOD SIZE : 2.44 X 120 CM 18 MM, GREEN COLOR, YOSR BRAND</v>
      </c>
      <c r="L29" s="21" t="str">
        <v>Piece</v>
      </c>
    </row>
    <row r="30" spans="1:12" x14ac:dyDescent="0.25">
      <c r="A30" s="30" t="str">
        <v>03</v>
      </c>
      <c r="B30" s="21" t="str">
        <v>Concrete</v>
      </c>
      <c r="C30" s="21" t="str">
        <v>10</v>
      </c>
      <c r="D30" s="21" t="str">
        <v>Concrete Forming and Accessories</v>
      </c>
      <c r="E30" s="21" t="str">
        <v>00.10</v>
      </c>
      <c r="F30" s="34" t="str">
        <v>الخشب</v>
      </c>
      <c r="G30" s="21" t="str">
        <v>Wood &amp; Formwork</v>
      </c>
      <c r="H30" s="21" t="str">
        <v>04</v>
      </c>
      <c r="I30" s="21" t="str">
        <v>03 10 00.1004</v>
      </c>
      <c r="J30" s="21" t="str">
        <v>WOOD SIZE : 7.5 X 7.5 X 3 MTR</v>
      </c>
      <c r="K30" s="21" t="str">
        <v>WOOD SIZE : 7.5 X 7.5 X 3 MTR</v>
      </c>
      <c r="L30" s="21" t="str">
        <v>Piece</v>
      </c>
    </row>
    <row r="31" spans="1:12" x14ac:dyDescent="0.25">
      <c r="A31" s="30" t="str">
        <v>03</v>
      </c>
      <c r="B31" s="21" t="str">
        <v>Concrete</v>
      </c>
      <c r="C31" s="21" t="str">
        <v>10</v>
      </c>
      <c r="D31" s="21" t="str">
        <v>Concrete Forming and Accessories</v>
      </c>
      <c r="E31" s="21" t="str">
        <v>00.10</v>
      </c>
      <c r="F31" s="34" t="str">
        <v>الخشب</v>
      </c>
      <c r="G31" s="21" t="str">
        <v>Wood &amp; Formwork</v>
      </c>
      <c r="H31" s="21" t="str">
        <v>05</v>
      </c>
      <c r="I31" s="21" t="str">
        <v>03 10 00.1005</v>
      </c>
      <c r="J31" s="21" t="str">
        <v>FINLANDI PLANK 3 MTR</v>
      </c>
      <c r="K31" s="21" t="str">
        <v>FINLANDI PLANK 3 MTR</v>
      </c>
      <c r="L31" s="21" t="str">
        <v>Piece</v>
      </c>
    </row>
    <row r="32" spans="1:12" x14ac:dyDescent="0.25">
      <c r="A32" s="30" t="str">
        <v>03</v>
      </c>
      <c r="B32" s="21" t="str">
        <v>Concrete</v>
      </c>
      <c r="C32" s="21" t="str">
        <v>10</v>
      </c>
      <c r="D32" s="21" t="str">
        <v>Concrete Forming and Accessories</v>
      </c>
      <c r="E32" s="21" t="str">
        <v>00.10</v>
      </c>
      <c r="F32" s="34" t="str">
        <v>الخشب</v>
      </c>
      <c r="G32" s="21" t="str">
        <v>Wood &amp; Formwork</v>
      </c>
      <c r="H32" s="21" t="str">
        <v>06</v>
      </c>
      <c r="I32" s="21" t="str">
        <v>03 10 00.1006</v>
      </c>
      <c r="J32" s="21" t="str">
        <v>صاموله تايرود</v>
      </c>
      <c r="K32" s="21" t="str">
        <v>TIE ROD BOLT</v>
      </c>
      <c r="L32" s="21" t="str">
        <v>Piece</v>
      </c>
    </row>
    <row r="33" spans="1:12" x14ac:dyDescent="0.25">
      <c r="A33" s="30" t="str">
        <v>03</v>
      </c>
      <c r="B33" s="21" t="str">
        <v>Concrete</v>
      </c>
      <c r="C33" s="21" t="str">
        <v>10</v>
      </c>
      <c r="D33" s="21" t="str">
        <v>Concrete Forming and Accessories</v>
      </c>
      <c r="E33" s="21" t="str">
        <v>00.10</v>
      </c>
      <c r="F33" s="34" t="str">
        <v>الخشب</v>
      </c>
      <c r="G33" s="21" t="str">
        <v>Wood &amp; Formwork</v>
      </c>
      <c r="H33" s="21" t="str">
        <v>07</v>
      </c>
      <c r="I33" s="21" t="str">
        <v>03 10 00.1007</v>
      </c>
      <c r="J33" s="21" t="str">
        <v>ورده تايرود</v>
      </c>
      <c r="K33" s="21" t="str">
        <v>TIE ROD NUT</v>
      </c>
      <c r="L33" s="21" t="str">
        <v>Piece</v>
      </c>
    </row>
    <row r="34" spans="1:12" x14ac:dyDescent="0.25">
      <c r="A34" s="30" t="str">
        <v>03</v>
      </c>
      <c r="B34" s="21" t="str">
        <v>Concrete</v>
      </c>
      <c r="C34" s="21" t="str">
        <v>10</v>
      </c>
      <c r="D34" s="21" t="str">
        <v>Concrete Forming and Accessories</v>
      </c>
      <c r="E34" s="21" t="str">
        <v>00.10</v>
      </c>
      <c r="F34" s="34" t="str">
        <v>الخشب</v>
      </c>
      <c r="G34" s="21" t="str">
        <v>Wood &amp; Formwork</v>
      </c>
      <c r="H34" s="21" t="str">
        <v>08</v>
      </c>
      <c r="I34" s="21" t="str">
        <v>03 10 00.1008</v>
      </c>
      <c r="J34" s="21" t="str">
        <v>سيخ تايرود 6 م</v>
      </c>
      <c r="K34" s="21" t="str">
        <v>TIE ROD POLE 600 MM</v>
      </c>
      <c r="L34" s="21" t="str">
        <v>Piece</v>
      </c>
    </row>
    <row r="35" spans="1:12" x14ac:dyDescent="0.25">
      <c r="A35" s="30" t="str">
        <v>03</v>
      </c>
      <c r="B35" s="21" t="str">
        <v>Concrete</v>
      </c>
      <c r="C35" s="21" t="str">
        <v>10</v>
      </c>
      <c r="D35" s="21" t="str">
        <v>Concrete Forming and Accessories</v>
      </c>
      <c r="E35" s="21" t="str">
        <v>00.10</v>
      </c>
      <c r="F35" s="34" t="str">
        <v>الخشب</v>
      </c>
      <c r="G35" s="21" t="str">
        <v>Wood &amp; Formwork</v>
      </c>
      <c r="H35" s="21" t="str">
        <v>09</v>
      </c>
      <c r="I35" s="21" t="str">
        <v>03 10 00.1009</v>
      </c>
      <c r="J35" s="21" t="str">
        <v>FINLANDI PLANK 3.90 MTR</v>
      </c>
      <c r="K35" s="21" t="str">
        <v>FINLANDI PLANK 3.90 MTR</v>
      </c>
      <c r="L35" s="21" t="str">
        <v>Piece</v>
      </c>
    </row>
    <row r="36" spans="1:12" x14ac:dyDescent="0.25">
      <c r="A36" s="30" t="str">
        <v>03</v>
      </c>
      <c r="B36" s="21" t="str">
        <v>Concrete</v>
      </c>
      <c r="C36" s="21" t="str">
        <v>10</v>
      </c>
      <c r="D36" s="21" t="str">
        <v>Concrete Forming and Accessories</v>
      </c>
      <c r="E36" s="21" t="str">
        <v>00.10</v>
      </c>
      <c r="F36" s="34" t="str">
        <v>الخشب</v>
      </c>
      <c r="G36" s="21" t="str">
        <v>Wood &amp; Formwork</v>
      </c>
      <c r="H36" s="21" t="str">
        <v>10</v>
      </c>
      <c r="I36" s="21" t="str">
        <v>03 10 00.1010</v>
      </c>
      <c r="J36" s="21" t="str">
        <v>ألواح بنطي</v>
      </c>
      <c r="K36" s="21" t="str">
        <v>Bunti Boards</v>
      </c>
      <c r="L36" s="21" t="str">
        <v>Piece</v>
      </c>
    </row>
    <row r="37" spans="1:12" x14ac:dyDescent="0.25">
      <c r="A37" s="30" t="str">
        <v>03</v>
      </c>
      <c r="B37" s="21" t="str">
        <v>Concrete</v>
      </c>
      <c r="C37" s="21" t="str">
        <v>10</v>
      </c>
      <c r="D37" s="21" t="str">
        <v>Concrete Forming and Accessories</v>
      </c>
      <c r="E37" s="21" t="str">
        <v>00.10</v>
      </c>
      <c r="F37" s="34" t="str">
        <v>الخشب</v>
      </c>
      <c r="G37" s="21" t="str">
        <v>Wood &amp; Formwork</v>
      </c>
      <c r="H37" s="21" t="str">
        <v>11</v>
      </c>
      <c r="I37" s="21" t="str">
        <v>03 10 00.1011</v>
      </c>
      <c r="J37" s="21" t="str">
        <v>بليوود 60 سم</v>
      </c>
      <c r="K37" s="21" t="str">
        <v>Yellow Plywood 61 X 2440</v>
      </c>
      <c r="L37" s="21" t="str">
        <v>Piece</v>
      </c>
    </row>
    <row r="38" spans="1:12" x14ac:dyDescent="0.25">
      <c r="A38" s="30" t="str">
        <v>03</v>
      </c>
      <c r="B38" s="21" t="str">
        <v>Concrete</v>
      </c>
      <c r="C38" s="21" t="str">
        <v>10</v>
      </c>
      <c r="D38" s="21" t="str">
        <v>Concrete Forming and Accessories</v>
      </c>
      <c r="E38" s="21" t="str">
        <v>00.10</v>
      </c>
      <c r="F38" s="34" t="str">
        <v>الخشب</v>
      </c>
      <c r="G38" s="21" t="str">
        <v>Wood &amp; Formwork</v>
      </c>
      <c r="H38" s="21" t="str">
        <v>12</v>
      </c>
      <c r="I38" s="21" t="str">
        <v>03 10 00.1012</v>
      </c>
      <c r="J38" s="44" t="str">
        <v>مرابيع 10 *10 *3</v>
      </c>
      <c r="K38" s="21" t="str">
        <v>Wood Blocks 10*10*4 meters</v>
      </c>
      <c r="L38" s="21" t="str">
        <v>Piece</v>
      </c>
    </row>
    <row r="39" spans="1:12" x14ac:dyDescent="0.25">
      <c r="A39" s="30" t="str">
        <v>03</v>
      </c>
      <c r="B39" s="21" t="str">
        <v>Concrete</v>
      </c>
      <c r="C39" s="21" t="str">
        <v>10</v>
      </c>
      <c r="D39" s="21" t="str">
        <v>Concrete Forming and Accessories</v>
      </c>
      <c r="E39" s="21" t="str">
        <v>00.10</v>
      </c>
      <c r="F39" s="34" t="str">
        <v>الخشب</v>
      </c>
      <c r="G39" s="21" t="str">
        <v>Wood &amp; Formwork</v>
      </c>
      <c r="H39" s="21" t="str">
        <v>13</v>
      </c>
      <c r="I39" s="21" t="str">
        <v>03 10 00.1013</v>
      </c>
      <c r="J39" s="21" t="str">
        <v>لوح لاتزانه</v>
      </c>
      <c r="K39" s="21" t="str">
        <v>Latzana Board 3.30m</v>
      </c>
      <c r="L39" s="21" t="str">
        <v>Piece</v>
      </c>
    </row>
    <row r="40" spans="1:12" x14ac:dyDescent="0.25">
      <c r="A40" s="30" t="str">
        <v>03</v>
      </c>
      <c r="B40" s="21" t="str">
        <v>Concrete</v>
      </c>
      <c r="C40" s="21" t="str">
        <v>10</v>
      </c>
      <c r="D40" s="21" t="str">
        <v>Concrete Forming and Accessories</v>
      </c>
      <c r="E40" s="21" t="str">
        <v>00.10</v>
      </c>
      <c r="F40" s="34" t="str">
        <v>الخشب</v>
      </c>
      <c r="G40" s="21" t="str">
        <v>Wood &amp; Formwork</v>
      </c>
      <c r="H40" s="21" t="str">
        <v>14</v>
      </c>
      <c r="I40" s="21" t="str">
        <v>03 10 00.1014</v>
      </c>
      <c r="J40" s="21" t="str">
        <v>مرابيع نمساوي 3*7*7</v>
      </c>
      <c r="K40" s="21" t="str">
        <v>Austrian Wood Blocks 3*7*7</v>
      </c>
      <c r="L40" s="21" t="str">
        <v>Piece</v>
      </c>
    </row>
    <row r="41" spans="1:12" x14ac:dyDescent="0.25">
      <c r="A41" s="30" t="str">
        <v>03</v>
      </c>
      <c r="B41" s="21" t="str">
        <v>Concrete</v>
      </c>
      <c r="C41" s="21" t="str">
        <v>10</v>
      </c>
      <c r="D41" s="21" t="str">
        <v>Concrete Forming and Accessories</v>
      </c>
      <c r="E41" s="21" t="str">
        <v>00.10</v>
      </c>
      <c r="F41" s="34" t="str">
        <v>الخشب</v>
      </c>
      <c r="G41" s="21" t="str">
        <v>Wood &amp; Formwork</v>
      </c>
      <c r="H41" s="21" t="str">
        <v>15</v>
      </c>
      <c r="I41" s="21" t="str">
        <v>03 10 00.1015</v>
      </c>
      <c r="J41" s="21" t="str">
        <v>مرابيع 3*3*3</v>
      </c>
      <c r="K41" s="21" t="str">
        <v>Wood Blocks 3*3*3</v>
      </c>
      <c r="L41" s="21" t="str">
        <v>Piece</v>
      </c>
    </row>
    <row r="42" spans="1:12" x14ac:dyDescent="0.25">
      <c r="A42" s="30" t="str">
        <v>03</v>
      </c>
      <c r="B42" s="21" t="str">
        <v>Concrete</v>
      </c>
      <c r="C42" s="21" t="str">
        <v>10</v>
      </c>
      <c r="D42" s="21" t="str">
        <v>Concrete Forming and Accessories</v>
      </c>
      <c r="E42" s="21" t="str">
        <v>00.10</v>
      </c>
      <c r="F42" s="34" t="str">
        <v>الخشب</v>
      </c>
      <c r="G42" s="21" t="str">
        <v>Wood &amp; Formwork</v>
      </c>
      <c r="H42" s="21" t="str">
        <v>16</v>
      </c>
      <c r="I42" s="21" t="str">
        <v>03 10 00.1016</v>
      </c>
      <c r="J42" s="21" t="str">
        <v>مرابيع قوه 4*10*10</v>
      </c>
      <c r="K42" s="21" t="str">
        <v>Strong Wood Blocks 4*10*10</v>
      </c>
      <c r="L42" s="21" t="str">
        <v>Piece</v>
      </c>
    </row>
    <row r="43" spans="1:12" x14ac:dyDescent="0.25">
      <c r="A43" s="30" t="str">
        <v>03</v>
      </c>
      <c r="B43" s="21" t="str">
        <v>Concrete</v>
      </c>
      <c r="C43" s="21" t="str">
        <v>10</v>
      </c>
      <c r="D43" s="21" t="str">
        <v>Concrete Forming and Accessories</v>
      </c>
      <c r="E43" s="21" t="str">
        <v>00.10</v>
      </c>
      <c r="F43" s="34" t="str">
        <v>الخشب</v>
      </c>
      <c r="G43" s="21" t="str">
        <v>Wood &amp; Formwork</v>
      </c>
      <c r="H43" s="21" t="str">
        <v>17</v>
      </c>
      <c r="I43" s="21" t="str">
        <v>03 10 00.1017</v>
      </c>
      <c r="J43" s="21" t="str">
        <v>لاتزانه 3.6 متر</v>
      </c>
      <c r="K43" s="21" t="str">
        <v>Latzana 3.6 meters</v>
      </c>
      <c r="L43" s="21" t="str">
        <v>Piece</v>
      </c>
    </row>
    <row r="44" spans="1:12" x14ac:dyDescent="0.25">
      <c r="A44" s="30" t="str">
        <v>03</v>
      </c>
      <c r="B44" s="21" t="str">
        <v>Concrete</v>
      </c>
      <c r="C44" s="21" t="str">
        <v>10</v>
      </c>
      <c r="D44" s="21" t="str">
        <v>Concrete Forming and Accessories</v>
      </c>
      <c r="E44" s="21" t="str">
        <v>00.10</v>
      </c>
      <c r="F44" s="34" t="str">
        <v>الخشب</v>
      </c>
      <c r="G44" s="21" t="str">
        <v>Wood &amp; Formwork</v>
      </c>
      <c r="H44" s="21" t="str">
        <v>18</v>
      </c>
      <c r="I44" s="21" t="str">
        <v>03 10 00.1018</v>
      </c>
      <c r="J44" s="21" t="str">
        <v>مرابيع 3*7*7</v>
      </c>
      <c r="K44" s="21" t="str">
        <v>Wood Blocks 3*7*7</v>
      </c>
      <c r="L44" s="21" t="str">
        <v>Piece</v>
      </c>
    </row>
    <row r="45" spans="1:12" x14ac:dyDescent="0.25">
      <c r="A45" s="30" t="str">
        <v>03</v>
      </c>
      <c r="B45" s="21" t="str">
        <v>Concrete</v>
      </c>
      <c r="C45" s="21" t="str">
        <v>10</v>
      </c>
      <c r="D45" s="21" t="str">
        <v>Concrete Forming and Accessories</v>
      </c>
      <c r="E45" s="21" t="str">
        <v>00.10</v>
      </c>
      <c r="F45" s="34" t="str">
        <v>الخشب</v>
      </c>
      <c r="G45" s="21" t="str">
        <v>Wood &amp; Formwork</v>
      </c>
      <c r="H45" s="21" t="str">
        <v>19</v>
      </c>
      <c r="I45" s="21" t="str">
        <v>03 10 00.1019</v>
      </c>
      <c r="J45" s="21" t="str">
        <v>لاتزانه 3 متر</v>
      </c>
      <c r="K45" s="21" t="str">
        <v>Latzana 3 meters</v>
      </c>
      <c r="L45" s="21" t="str">
        <v>Piece</v>
      </c>
    </row>
    <row r="46" spans="1:12" x14ac:dyDescent="0.25">
      <c r="A46" s="30" t="str">
        <v>03</v>
      </c>
      <c r="B46" s="21" t="str">
        <v>Concrete</v>
      </c>
      <c r="C46" s="21" t="str">
        <v>10</v>
      </c>
      <c r="D46" s="21" t="str">
        <v>Concrete Forming and Accessories</v>
      </c>
      <c r="E46" s="21" t="str">
        <v>00.10</v>
      </c>
      <c r="F46" s="34" t="str">
        <v>الخشب</v>
      </c>
      <c r="G46" s="21" t="str">
        <v>Wood &amp; Formwork</v>
      </c>
      <c r="H46" s="21" t="str">
        <v>20</v>
      </c>
      <c r="I46" s="21" t="str">
        <v>03 10 00.1020</v>
      </c>
      <c r="J46" s="21" t="str">
        <v>wood 3" X 3" X 3 mtr</v>
      </c>
      <c r="K46" s="21" t="str">
        <v>Wood 3" X 3" X 3 mtr</v>
      </c>
      <c r="L46" s="21" t="str">
        <v>Piece</v>
      </c>
    </row>
    <row r="47" spans="1:12" ht="17.25" customHeight="1" x14ac:dyDescent="0.25">
      <c r="A47" s="30" t="str">
        <v>03</v>
      </c>
      <c r="B47" s="21" t="str">
        <v>Concrete</v>
      </c>
      <c r="C47" s="21" t="str">
        <v>15</v>
      </c>
      <c r="D47" s="21" t="str">
        <v>Concrete Accessories</v>
      </c>
      <c r="E47" s="21" t="str">
        <v>00.10</v>
      </c>
      <c r="F47" s="34" t="str">
        <v>البسكوت</v>
      </c>
      <c r="G47" s="21" t="str">
        <v>Concrete Spacers</v>
      </c>
      <c r="H47" s="21" t="str">
        <v>01</v>
      </c>
      <c r="I47" s="21" t="str">
        <v>03 15 00.1001</v>
      </c>
      <c r="J47" s="21" t="str">
        <v>بسكوت للخرسانة 100 حبة</v>
      </c>
      <c r="K47" s="21" t="str">
        <v>Concrete Spacer 100 pieces</v>
      </c>
      <c r="L47" s="21" t="str">
        <v>Bag</v>
      </c>
    </row>
    <row r="48" spans="1:12" x14ac:dyDescent="0.25">
      <c r="A48" s="30" t="str">
        <v>03</v>
      </c>
      <c r="B48" s="21" t="str">
        <v>Concrete</v>
      </c>
      <c r="C48" s="21" t="str">
        <v>20</v>
      </c>
      <c r="D48" s="21" t="str">
        <v>Concrete Reinforcing</v>
      </c>
      <c r="E48" s="21" t="str">
        <v>00.10</v>
      </c>
      <c r="F48" s="34" t="str">
        <v>الحديد</v>
      </c>
      <c r="G48" s="21" t="str">
        <v>Reinforcement Steel</v>
      </c>
      <c r="H48" s="21" t="str">
        <v>01</v>
      </c>
      <c r="I48" s="21" t="str">
        <v>03 20 00.1001</v>
      </c>
      <c r="J48" s="21" t="str">
        <v>حديد 8 مم</v>
      </c>
      <c r="K48" s="21" t="str">
        <v>8 mm Reinforcement Bar</v>
      </c>
      <c r="L48" s="21" t="str">
        <v>Ton</v>
      </c>
    </row>
    <row r="49" spans="1:42" x14ac:dyDescent="0.25">
      <c r="A49" s="30" t="str">
        <v>03</v>
      </c>
      <c r="B49" s="21" t="str">
        <v>Concrete</v>
      </c>
      <c r="C49" s="21" t="str">
        <v>20</v>
      </c>
      <c r="D49" s="21" t="str">
        <v>Concrete Reinforcing</v>
      </c>
      <c r="E49" s="21" t="str">
        <v>00.10</v>
      </c>
      <c r="F49" s="34" t="str">
        <v>الحديد</v>
      </c>
      <c r="G49" s="21" t="str">
        <v>Reinforcement Steel</v>
      </c>
      <c r="H49" s="21" t="str">
        <v>02</v>
      </c>
      <c r="I49" s="21" t="str">
        <v>03 20 00.1002</v>
      </c>
      <c r="J49" s="21" t="str">
        <v>حديد 10 مم</v>
      </c>
      <c r="K49" s="21" t="str">
        <v>10 mm Reinforcement Bar</v>
      </c>
      <c r="L49" s="21" t="str">
        <v>Ton</v>
      </c>
    </row>
    <row r="50" spans="1:42" x14ac:dyDescent="0.25">
      <c r="A50" s="30" t="str">
        <v>03</v>
      </c>
      <c r="B50" s="21" t="str">
        <v>Concrete</v>
      </c>
      <c r="C50" s="21" t="str">
        <v>20</v>
      </c>
      <c r="D50" s="21" t="str">
        <v>Concrete Reinforcing</v>
      </c>
      <c r="E50" s="21" t="str">
        <v>00.10</v>
      </c>
      <c r="F50" s="34" t="str">
        <v>الحديد</v>
      </c>
      <c r="G50" s="21" t="str">
        <v>Reinforcement Steel</v>
      </c>
      <c r="H50" s="21" t="str">
        <v>03</v>
      </c>
      <c r="I50" s="21" t="str">
        <v>03 20 00.1003</v>
      </c>
      <c r="J50" s="21" t="str">
        <v>حديد 12 مم</v>
      </c>
      <c r="K50" s="21" t="str">
        <v>12 mm Reinforcement Bar</v>
      </c>
      <c r="L50" s="21" t="str">
        <v>Ton</v>
      </c>
    </row>
    <row r="51" spans="1:42" x14ac:dyDescent="0.25">
      <c r="A51" s="30" t="str">
        <v>03</v>
      </c>
      <c r="B51" s="21" t="str">
        <v>Concrete</v>
      </c>
      <c r="C51" s="21" t="str">
        <v>20</v>
      </c>
      <c r="D51" s="21" t="str">
        <v>Concrete Reinforcing</v>
      </c>
      <c r="E51" s="21" t="str">
        <v>00.10</v>
      </c>
      <c r="F51" s="34" t="str">
        <v>الحديد</v>
      </c>
      <c r="G51" s="21" t="str">
        <v>Reinforcement Steel</v>
      </c>
      <c r="H51" s="21" t="str">
        <v>04</v>
      </c>
      <c r="I51" s="21" t="str">
        <v>03 20 00.1004</v>
      </c>
      <c r="J51" s="21" t="str">
        <v>حديد 14 مم</v>
      </c>
      <c r="K51" s="21" t="str">
        <v>14 mm Reinforcement Bar</v>
      </c>
      <c r="L51" s="21" t="str">
        <v>Ton</v>
      </c>
    </row>
    <row r="52" spans="1:42" x14ac:dyDescent="0.25">
      <c r="A52" s="30" t="str">
        <v>03</v>
      </c>
      <c r="B52" s="21" t="str">
        <v>Concrete</v>
      </c>
      <c r="C52" s="21" t="str">
        <v>20</v>
      </c>
      <c r="D52" s="21" t="str">
        <v>Concrete Reinforcing</v>
      </c>
      <c r="E52" s="21" t="str">
        <v>00.10</v>
      </c>
      <c r="F52" s="34" t="str">
        <v>الحديد</v>
      </c>
      <c r="G52" s="21" t="str">
        <v>Reinforcement Steel</v>
      </c>
      <c r="H52" s="21" t="str">
        <v>05</v>
      </c>
      <c r="I52" s="21" t="str">
        <v>03 20 00.1005</v>
      </c>
      <c r="J52" s="21" t="str">
        <v>حديد 16 مم</v>
      </c>
      <c r="K52" s="21" t="str">
        <v>16 mm Reinforcement Bar</v>
      </c>
      <c r="L52" s="21" t="str">
        <v>Ton</v>
      </c>
    </row>
    <row r="53" spans="1:42" x14ac:dyDescent="0.25">
      <c r="A53" s="30" t="str">
        <v>03</v>
      </c>
      <c r="B53" s="21" t="str">
        <v>Concrete</v>
      </c>
      <c r="C53" s="21" t="str">
        <v>20</v>
      </c>
      <c r="D53" s="21" t="str">
        <v>Concrete Reinforcing</v>
      </c>
      <c r="E53" s="21" t="str">
        <v>00.10</v>
      </c>
      <c r="F53" s="34" t="str">
        <v>الحديد</v>
      </c>
      <c r="G53" s="21" t="str">
        <v>Reinforcement Steel</v>
      </c>
      <c r="H53" s="21" t="str">
        <v>06</v>
      </c>
      <c r="I53" s="21" t="str">
        <v>03 20 00.1006</v>
      </c>
      <c r="J53" s="21" t="str">
        <v>حديد 18 مم</v>
      </c>
      <c r="K53" s="21" t="str">
        <v>18 mm Reinforcement Bar</v>
      </c>
      <c r="L53" s="21" t="str">
        <v>Ton</v>
      </c>
    </row>
    <row r="54" spans="1:42" x14ac:dyDescent="0.25">
      <c r="A54" s="30" t="str">
        <v>03</v>
      </c>
      <c r="B54" s="21" t="str">
        <v>Concrete</v>
      </c>
      <c r="C54" s="21" t="str">
        <v>20</v>
      </c>
      <c r="D54" s="21" t="str">
        <v>Concrete Reinforcing</v>
      </c>
      <c r="E54" s="21" t="str">
        <v>00.10</v>
      </c>
      <c r="F54" s="34" t="str">
        <v>الحديد</v>
      </c>
      <c r="G54" s="21" t="str">
        <v>Reinforcement Steel</v>
      </c>
      <c r="H54" s="21" t="str">
        <v>07</v>
      </c>
      <c r="I54" s="21" t="str">
        <v>03 20 00.1007</v>
      </c>
      <c r="J54" s="21" t="str">
        <v>حديد 20 مم</v>
      </c>
      <c r="K54" s="21" t="str">
        <v>20 mm Reinforcement Bar</v>
      </c>
      <c r="L54" s="21" t="str">
        <v>Ton</v>
      </c>
    </row>
    <row r="55" spans="1:42" x14ac:dyDescent="0.25">
      <c r="A55" s="30" t="str">
        <v>03</v>
      </c>
      <c r="B55" s="21" t="str">
        <v>Concrete</v>
      </c>
      <c r="C55" s="21" t="str">
        <v>20</v>
      </c>
      <c r="D55" s="21" t="str">
        <v>Concrete Reinforcing</v>
      </c>
      <c r="E55" s="21" t="str">
        <v>00.10</v>
      </c>
      <c r="F55" s="34" t="str">
        <v>الحديد</v>
      </c>
      <c r="G55" s="21" t="str">
        <v>Reinforcement Steel</v>
      </c>
      <c r="H55" s="21" t="str">
        <v>08</v>
      </c>
      <c r="I55" s="21" t="str">
        <v>03 20 00.1008</v>
      </c>
      <c r="J55" s="21" t="str">
        <v>حديد 22 مم</v>
      </c>
      <c r="K55" s="21" t="str">
        <v>22 mm Reinforcement Bar</v>
      </c>
      <c r="L55" s="21" t="str">
        <v>Ton</v>
      </c>
    </row>
    <row r="56" spans="1:42" x14ac:dyDescent="0.25">
      <c r="A56" s="30" t="str">
        <v>03</v>
      </c>
      <c r="B56" s="21" t="str">
        <v>Concrete</v>
      </c>
      <c r="C56" s="21" t="str">
        <v>20</v>
      </c>
      <c r="D56" s="21" t="str">
        <v>Concrete Reinforcing</v>
      </c>
      <c r="E56" s="21" t="str">
        <v>00.10</v>
      </c>
      <c r="F56" s="34" t="str">
        <v>الحديد</v>
      </c>
      <c r="G56" s="21" t="str">
        <v>Reinforcement Steel</v>
      </c>
      <c r="H56" s="21" t="str">
        <v>09</v>
      </c>
      <c r="I56" s="21" t="str">
        <v>03 20 00.1009</v>
      </c>
      <c r="J56" s="21" t="str">
        <v>حديد 25 مم</v>
      </c>
      <c r="K56" s="21" t="str">
        <v>25 mm Reinforcement Bar</v>
      </c>
      <c r="L56" s="21" t="str">
        <v>Ton</v>
      </c>
    </row>
    <row r="57" spans="1:42" x14ac:dyDescent="0.25">
      <c r="A57" s="30" t="str">
        <v>03</v>
      </c>
      <c r="B57" s="21" t="str">
        <v>Concrete</v>
      </c>
      <c r="C57" s="21" t="str">
        <v>20</v>
      </c>
      <c r="D57" s="21" t="str">
        <v>Concrete Reinforcing</v>
      </c>
      <c r="E57" s="21" t="str">
        <v>00.10</v>
      </c>
      <c r="F57" s="34" t="str">
        <v>الحديد</v>
      </c>
      <c r="G57" s="21" t="str">
        <v>Reinforcement Steel</v>
      </c>
      <c r="H57" s="21" t="str">
        <v>10</v>
      </c>
      <c r="I57" s="21" t="str">
        <v>03 20 00.1010</v>
      </c>
      <c r="J57" s="21" t="str">
        <v>سلك رباط</v>
      </c>
      <c r="K57" s="21" t="str">
        <v>Tie wire / Binding Wire</v>
      </c>
      <c r="L57" s="21" t="str">
        <v>Roll</v>
      </c>
    </row>
    <row r="58" spans="1:42" s="3" customFormat="1" ht="30" x14ac:dyDescent="0.25">
      <c r="A58" s="57" t="str">
        <v>03</v>
      </c>
      <c r="B58" s="22" t="str">
        <v>Concrete</v>
      </c>
      <c r="C58" s="22" t="str">
        <v>21</v>
      </c>
      <c r="D58" s="22" t="str">
        <v>Reinforcing Steel</v>
      </c>
      <c r="E58" s="22" t="str">
        <v>00.10</v>
      </c>
      <c r="F58" s="35" t="str">
        <v>steel wire mesh</v>
      </c>
      <c r="G58" s="22" t="str">
        <v>steel wire mesh</v>
      </c>
      <c r="H58" s="22" t="str">
        <v>01</v>
      </c>
      <c r="I58" s="22" t="str">
        <v>03 21 00.1001</v>
      </c>
      <c r="J58" s="22" t="str">
        <v>شبك حديد 8 مم - 2 * 5</v>
      </c>
      <c r="K58" s="22" t="str">
        <v>steel wire mesh 8 mm Size 2 X 5 m, Opening 20 X 20 Cm</v>
      </c>
      <c r="L58" s="22" t="str">
        <v>Piece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</row>
    <row r="59" spans="1:42" s="3" customFormat="1" ht="30" x14ac:dyDescent="0.25">
      <c r="A59" s="57" t="str">
        <v>03</v>
      </c>
      <c r="B59" s="22" t="str">
        <v>Concrete</v>
      </c>
      <c r="C59" s="22" t="str">
        <v>21</v>
      </c>
      <c r="D59" s="22" t="str">
        <v>Reinforcing Steel</v>
      </c>
      <c r="E59" s="22" t="str">
        <v>00.10</v>
      </c>
      <c r="F59" s="35" t="str">
        <v>steel wire mesh</v>
      </c>
      <c r="G59" s="22" t="str">
        <v>steel wire mesh</v>
      </c>
      <c r="H59" s="22" t="str">
        <v>02</v>
      </c>
      <c r="I59" s="22" t="str">
        <v>03 21 00.1002</v>
      </c>
      <c r="J59" s="22" t="str">
        <v>شبك حديد 8 مم - 1.5 * 4</v>
      </c>
      <c r="K59" s="22" t="str">
        <v>steel wire mesh 8 mm Size 4 X 1.5 m, Opening 20 X 20 Cm</v>
      </c>
      <c r="L59" s="22" t="str">
        <v>Piece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</row>
    <row r="60" spans="1:42" ht="30" x14ac:dyDescent="0.25">
      <c r="A60" s="30" t="str">
        <v>03</v>
      </c>
      <c r="B60" s="21" t="str">
        <v>Concrete</v>
      </c>
      <c r="C60" s="21" t="str">
        <v>30</v>
      </c>
      <c r="D60" s="21" t="str">
        <v>Cast-in-Place Concrete</v>
      </c>
      <c r="E60" s="21" t="str">
        <v>00.10</v>
      </c>
      <c r="F60" s="34" t="str">
        <v>الخرسانه</v>
      </c>
      <c r="G60" s="21" t="str">
        <v>Concrete</v>
      </c>
      <c r="H60" s="21" t="str">
        <v>01</v>
      </c>
      <c r="I60" s="21" t="str">
        <v>03 30 00.1001</v>
      </c>
      <c r="J60" s="21" t="str">
        <v>C 10 OPC</v>
      </c>
      <c r="K60" s="21" t="str">
        <v>C 10 OPC (Ordinary Portland Cement)</v>
      </c>
      <c r="L60" s="21" t="str">
        <v>M3</v>
      </c>
    </row>
    <row r="61" spans="1:42" x14ac:dyDescent="0.25">
      <c r="A61" s="30" t="str">
        <v>03</v>
      </c>
      <c r="B61" s="21" t="str">
        <v>Concrete</v>
      </c>
      <c r="C61" s="21" t="str">
        <v>30</v>
      </c>
      <c r="D61" s="21" t="str">
        <v>Cast-in-Place Concrete</v>
      </c>
      <c r="E61" s="21" t="str">
        <v>00.10</v>
      </c>
      <c r="F61" s="34" t="str">
        <v>الخرسانه</v>
      </c>
      <c r="G61" s="21" t="str">
        <v>Concrete</v>
      </c>
      <c r="H61" s="21" t="str">
        <v>02</v>
      </c>
      <c r="I61" s="21" t="str">
        <v>03 30 00.1002</v>
      </c>
      <c r="J61" s="21" t="str">
        <v>C 20 OPC</v>
      </c>
      <c r="K61" s="21" t="str">
        <v>C 20 OPC</v>
      </c>
      <c r="L61" s="21" t="str">
        <v>M3</v>
      </c>
    </row>
    <row r="62" spans="1:42" x14ac:dyDescent="0.25">
      <c r="A62" s="30" t="str">
        <v>03</v>
      </c>
      <c r="B62" s="21" t="str">
        <v>Concrete</v>
      </c>
      <c r="C62" s="21" t="str">
        <v>30</v>
      </c>
      <c r="D62" s="21" t="str">
        <v>Cast-in-Place Concrete</v>
      </c>
      <c r="E62" s="21" t="str">
        <v>00.10</v>
      </c>
      <c r="F62" s="34" t="str">
        <v>الخرسانه</v>
      </c>
      <c r="G62" s="21" t="str">
        <v>Concrete</v>
      </c>
      <c r="H62" s="21" t="str">
        <v>03</v>
      </c>
      <c r="I62" s="21" t="str">
        <v>03 30 00.1003</v>
      </c>
      <c r="J62" s="21" t="str">
        <v>C 20 SRC</v>
      </c>
      <c r="K62" s="21" t="str">
        <v>C 20 SRC</v>
      </c>
      <c r="L62" s="21" t="str">
        <v>M3</v>
      </c>
    </row>
    <row r="63" spans="1:42" x14ac:dyDescent="0.25">
      <c r="A63" s="30" t="str">
        <v>03</v>
      </c>
      <c r="B63" s="21" t="str">
        <v>Concrete</v>
      </c>
      <c r="C63" s="21" t="str">
        <v>30</v>
      </c>
      <c r="D63" s="21" t="str">
        <v>Cast-in-Place Concrete</v>
      </c>
      <c r="E63" s="21" t="str">
        <v>00.10</v>
      </c>
      <c r="F63" s="34" t="str">
        <v>الخرسانه</v>
      </c>
      <c r="G63" s="21" t="str">
        <v>Concrete</v>
      </c>
      <c r="H63" s="21" t="str">
        <v>04</v>
      </c>
      <c r="I63" s="21" t="str">
        <v>03 30 00.1004</v>
      </c>
      <c r="J63" s="21" t="str">
        <v>C 25 OPC</v>
      </c>
      <c r="K63" s="21" t="str">
        <v>C 25 OPC</v>
      </c>
      <c r="L63" s="21" t="str">
        <v>M3</v>
      </c>
    </row>
    <row r="64" spans="1:42" x14ac:dyDescent="0.25">
      <c r="A64" s="30" t="str">
        <v>03</v>
      </c>
      <c r="B64" s="21" t="str">
        <v>Concrete</v>
      </c>
      <c r="C64" s="21" t="str">
        <v>30</v>
      </c>
      <c r="D64" s="21" t="str">
        <v>Cast-in-Place Concrete</v>
      </c>
      <c r="E64" s="21" t="str">
        <v>00.10</v>
      </c>
      <c r="F64" s="34" t="str">
        <v>الخرسانه</v>
      </c>
      <c r="G64" s="21" t="str">
        <v>Concrete</v>
      </c>
      <c r="H64" s="21" t="str">
        <v>05</v>
      </c>
      <c r="I64" s="21" t="str">
        <v>03 30 00.1005</v>
      </c>
      <c r="J64" s="21" t="str">
        <v>C 25 SRC</v>
      </c>
      <c r="K64" s="21" t="str">
        <v>C 25 SRC</v>
      </c>
      <c r="L64" s="21" t="str">
        <v>M3</v>
      </c>
    </row>
    <row r="65" spans="1:12" x14ac:dyDescent="0.25">
      <c r="A65" s="30" t="str">
        <v>03</v>
      </c>
      <c r="B65" s="21" t="str">
        <v>Concrete</v>
      </c>
      <c r="C65" s="21" t="str">
        <v>30</v>
      </c>
      <c r="D65" s="21" t="str">
        <v>Cast-in-Place Concrete</v>
      </c>
      <c r="E65" s="21" t="str">
        <v>00.10</v>
      </c>
      <c r="F65" s="34" t="str">
        <v>الخرسانه</v>
      </c>
      <c r="G65" s="21" t="str">
        <v>Concrete</v>
      </c>
      <c r="H65" s="21" t="str">
        <v>06</v>
      </c>
      <c r="I65" s="21" t="str">
        <v>03 30 00.1006</v>
      </c>
      <c r="J65" s="21" t="str">
        <v>C 28 OPC</v>
      </c>
      <c r="K65" s="21" t="str">
        <v>C 28 OPC</v>
      </c>
      <c r="L65" s="21" t="str">
        <v>M3</v>
      </c>
    </row>
    <row r="66" spans="1:12" x14ac:dyDescent="0.25">
      <c r="A66" s="30" t="str">
        <v>03</v>
      </c>
      <c r="B66" s="21" t="str">
        <v>Concrete</v>
      </c>
      <c r="C66" s="21" t="str">
        <v>30</v>
      </c>
      <c r="D66" s="21" t="str">
        <v>Cast-in-Place Concrete</v>
      </c>
      <c r="E66" s="21" t="str">
        <v>00.10</v>
      </c>
      <c r="F66" s="34" t="str">
        <v>الخرسانه</v>
      </c>
      <c r="G66" s="21" t="str">
        <v>Concrete</v>
      </c>
      <c r="H66" s="21" t="str">
        <v>07</v>
      </c>
      <c r="I66" s="21" t="str">
        <v>03 30 00.1007</v>
      </c>
      <c r="J66" s="21" t="str">
        <v>C 28 SRC</v>
      </c>
      <c r="K66" s="21" t="str">
        <v>C 28 SRC</v>
      </c>
      <c r="L66" s="21" t="str">
        <v>M3</v>
      </c>
    </row>
    <row r="67" spans="1:12" x14ac:dyDescent="0.25">
      <c r="A67" s="30" t="str">
        <v>03</v>
      </c>
      <c r="B67" s="21" t="str">
        <v>Concrete</v>
      </c>
      <c r="C67" s="21" t="str">
        <v>30</v>
      </c>
      <c r="D67" s="21" t="str">
        <v>Cast-in-Place Concrete</v>
      </c>
      <c r="E67" s="21" t="str">
        <v>00.10</v>
      </c>
      <c r="F67" s="34" t="str">
        <v>الخرسانه</v>
      </c>
      <c r="G67" s="21" t="str">
        <v>Concrete</v>
      </c>
      <c r="H67" s="21" t="str">
        <v>08</v>
      </c>
      <c r="I67" s="21" t="str">
        <v>03 30 00.1008</v>
      </c>
      <c r="J67" s="21" t="str">
        <v>C 30 OPC</v>
      </c>
      <c r="K67" s="21" t="str">
        <v>C 30 OPC</v>
      </c>
      <c r="L67" s="21" t="str">
        <v>M3</v>
      </c>
    </row>
    <row r="68" spans="1:12" x14ac:dyDescent="0.25">
      <c r="A68" s="30" t="str">
        <v>03</v>
      </c>
      <c r="B68" s="21" t="str">
        <v>Concrete</v>
      </c>
      <c r="C68" s="21" t="str">
        <v>30</v>
      </c>
      <c r="D68" s="21" t="str">
        <v>Cast-in-Place Concrete</v>
      </c>
      <c r="E68" s="21" t="str">
        <v>00.10</v>
      </c>
      <c r="F68" s="34" t="str">
        <v>الخرسانه</v>
      </c>
      <c r="G68" s="21" t="str">
        <v>Concrete</v>
      </c>
      <c r="H68" s="21" t="str">
        <v>09</v>
      </c>
      <c r="I68" s="21" t="str">
        <v>03 30 00.1009</v>
      </c>
      <c r="J68" s="21" t="str">
        <v>C 30 SRC</v>
      </c>
      <c r="K68" s="21" t="str">
        <v>C 30 SRC</v>
      </c>
      <c r="L68" s="21" t="str">
        <v>M3</v>
      </c>
    </row>
    <row r="69" spans="1:12" x14ac:dyDescent="0.25">
      <c r="A69" s="30" t="str">
        <v>03</v>
      </c>
      <c r="B69" s="21" t="str">
        <v>Concrete</v>
      </c>
      <c r="C69" s="21" t="str">
        <v>30</v>
      </c>
      <c r="D69" s="21" t="str">
        <v>Cast-in-Place Concrete</v>
      </c>
      <c r="E69" s="21" t="str">
        <v>00.10</v>
      </c>
      <c r="F69" s="34" t="str">
        <v>الخرسانه</v>
      </c>
      <c r="G69" s="21" t="str">
        <v>Concrete</v>
      </c>
      <c r="H69" s="21" t="str">
        <v>10</v>
      </c>
      <c r="I69" s="21" t="str">
        <v>03 30 00.1010</v>
      </c>
      <c r="J69" s="21" t="str">
        <v>C 30 OPC E.S</v>
      </c>
      <c r="K69" s="21" t="str">
        <v>C 30 OPC E.S</v>
      </c>
      <c r="L69" s="21" t="str">
        <v>M3</v>
      </c>
    </row>
    <row r="70" spans="1:12" x14ac:dyDescent="0.25">
      <c r="A70" s="30" t="str">
        <v>03</v>
      </c>
      <c r="B70" s="21" t="str">
        <v>Concrete</v>
      </c>
      <c r="C70" s="21" t="str">
        <v>30</v>
      </c>
      <c r="D70" s="21" t="str">
        <v>Cast-in-Place Concrete</v>
      </c>
      <c r="E70" s="21" t="str">
        <v>00.10</v>
      </c>
      <c r="F70" s="34" t="str">
        <v>الخرسانه</v>
      </c>
      <c r="G70" s="21" t="str">
        <v>Concrete</v>
      </c>
      <c r="H70" s="21" t="str">
        <v>11</v>
      </c>
      <c r="I70" s="21" t="str">
        <v>03 30 00.1011</v>
      </c>
      <c r="J70" s="21" t="str">
        <v>C 30 SRC E.S</v>
      </c>
      <c r="K70" s="21" t="str">
        <v>C 30 SRC E.S</v>
      </c>
      <c r="L70" s="21" t="str">
        <v>M3</v>
      </c>
    </row>
    <row r="71" spans="1:12" x14ac:dyDescent="0.25">
      <c r="A71" s="30" t="str">
        <v>03</v>
      </c>
      <c r="B71" s="21" t="str">
        <v>Concrete</v>
      </c>
      <c r="C71" s="21" t="str">
        <v>30</v>
      </c>
      <c r="D71" s="21" t="str">
        <v>Cast-in-Place Concrete</v>
      </c>
      <c r="E71" s="21" t="str">
        <v>00.10</v>
      </c>
      <c r="F71" s="34" t="str">
        <v>الخرسانه</v>
      </c>
      <c r="G71" s="21" t="str">
        <v>Concrete</v>
      </c>
      <c r="H71" s="21" t="str">
        <v>12</v>
      </c>
      <c r="I71" s="21" t="str">
        <v>03 30 00.1012</v>
      </c>
      <c r="J71" s="21" t="str">
        <v>C 35 OPC</v>
      </c>
      <c r="K71" s="21" t="str">
        <v>C 35 OPC</v>
      </c>
      <c r="L71" s="21" t="str">
        <v>M3</v>
      </c>
    </row>
    <row r="72" spans="1:12" x14ac:dyDescent="0.25">
      <c r="A72" s="30" t="str">
        <v>03</v>
      </c>
      <c r="B72" s="21" t="str">
        <v>Concrete</v>
      </c>
      <c r="C72" s="21" t="str">
        <v>30</v>
      </c>
      <c r="D72" s="21" t="str">
        <v>Cast-in-Place Concrete</v>
      </c>
      <c r="E72" s="21" t="str">
        <v>00.10</v>
      </c>
      <c r="F72" s="34" t="str">
        <v>الخرسانه</v>
      </c>
      <c r="G72" s="21" t="str">
        <v>Concrete</v>
      </c>
      <c r="H72" s="21" t="str">
        <v>13</v>
      </c>
      <c r="I72" s="21" t="str">
        <v>03 30 00.1013</v>
      </c>
      <c r="J72" s="21" t="str">
        <v>C 35 SRC</v>
      </c>
      <c r="K72" s="21" t="str">
        <v>C 35 SRC</v>
      </c>
      <c r="L72" s="21" t="str">
        <v>M3</v>
      </c>
    </row>
    <row r="73" spans="1:12" x14ac:dyDescent="0.25">
      <c r="A73" s="30" t="str">
        <v>03</v>
      </c>
      <c r="B73" s="21" t="str">
        <v>Concrete</v>
      </c>
      <c r="C73" s="21" t="str">
        <v>30</v>
      </c>
      <c r="D73" s="21" t="str">
        <v>Cast-in-Place Concrete</v>
      </c>
      <c r="E73" s="21" t="str">
        <v>00.10</v>
      </c>
      <c r="F73" s="34" t="str">
        <v>الخرسانه</v>
      </c>
      <c r="G73" s="21" t="str">
        <v>Concrete</v>
      </c>
      <c r="H73" s="21" t="str">
        <v>14</v>
      </c>
      <c r="I73" s="21" t="str">
        <v>03 30 00.1014</v>
      </c>
      <c r="J73" s="21" t="str">
        <v>C 35 OPC E.S</v>
      </c>
      <c r="K73" s="21" t="str">
        <v>C 35 OPC E.S</v>
      </c>
      <c r="L73" s="21" t="str">
        <v>M3</v>
      </c>
    </row>
    <row r="74" spans="1:12" x14ac:dyDescent="0.25">
      <c r="A74" s="30" t="str">
        <v>03</v>
      </c>
      <c r="B74" s="21" t="str">
        <v>Concrete</v>
      </c>
      <c r="C74" s="21" t="str">
        <v>30</v>
      </c>
      <c r="D74" s="21" t="str">
        <v>Cast-in-Place Concrete</v>
      </c>
      <c r="E74" s="21" t="str">
        <v>00.10</v>
      </c>
      <c r="F74" s="34" t="str">
        <v>الخرسانه</v>
      </c>
      <c r="G74" s="21" t="str">
        <v>Concrete</v>
      </c>
      <c r="H74" s="21" t="str">
        <v>15</v>
      </c>
      <c r="I74" s="21" t="str">
        <v>03 30 00.1015</v>
      </c>
      <c r="J74" s="21" t="str">
        <v>C 35 SRC E.S</v>
      </c>
      <c r="K74" s="21" t="str">
        <v>C 35 SRC E.S</v>
      </c>
      <c r="L74" s="21" t="str">
        <v>M3</v>
      </c>
    </row>
    <row r="75" spans="1:12" ht="30" x14ac:dyDescent="0.25">
      <c r="A75" s="30" t="str">
        <v>03</v>
      </c>
      <c r="B75" s="21" t="str">
        <v>Concrete</v>
      </c>
      <c r="C75" s="21" t="str">
        <v>39</v>
      </c>
      <c r="D75" s="21" t="str">
        <v>Concrete Curing</v>
      </c>
      <c r="E75" s="21" t="str">
        <v>00.10</v>
      </c>
      <c r="F75" s="34" t="str">
        <v>مواد معالجة الخرسانه</v>
      </c>
      <c r="G75" s="21" t="str">
        <v>Concrete Treatment Materials</v>
      </c>
      <c r="H75" s="21" t="str">
        <v>01</v>
      </c>
      <c r="I75" s="21" t="str">
        <v>03 39 00.1001</v>
      </c>
      <c r="J75" s="21" t="str">
        <v>معالجه الخرسانه بعد الصبه / برميل</v>
      </c>
      <c r="K75" s="21" t="str">
        <v>CIC CICOCURE 210L</v>
      </c>
      <c r="L75" s="21">
        <v>0</v>
      </c>
    </row>
    <row r="76" spans="1:12" ht="30" x14ac:dyDescent="0.25">
      <c r="A76" s="30" t="str">
        <v>03</v>
      </c>
      <c r="B76" s="21" t="str">
        <v>Concrete</v>
      </c>
      <c r="C76" s="21" t="str">
        <v>39</v>
      </c>
      <c r="D76" s="21" t="str">
        <v>Concrete Curing</v>
      </c>
      <c r="E76" s="21" t="str">
        <v>00.10</v>
      </c>
      <c r="F76" s="34" t="str">
        <v>مواد معالجة الخرسانه</v>
      </c>
      <c r="G76" s="21" t="str">
        <v>Concrete Treatment Materials</v>
      </c>
      <c r="H76" s="21" t="str">
        <v>02</v>
      </c>
      <c r="I76" s="21" t="str">
        <v>03 39 00.1002</v>
      </c>
      <c r="J76" s="21" t="str">
        <v>معالجه الخرسانه بعد الصبه / لتر</v>
      </c>
      <c r="K76" s="21" t="str">
        <v>Concrete Treatment Material per liter</v>
      </c>
      <c r="L76" s="21">
        <v>0</v>
      </c>
    </row>
    <row r="77" spans="1:12" ht="30" x14ac:dyDescent="0.25">
      <c r="A77" s="30" t="str">
        <v>03</v>
      </c>
      <c r="B77" s="21" t="str">
        <v>Concrete</v>
      </c>
      <c r="C77" s="21" t="str">
        <v>39</v>
      </c>
      <c r="D77" s="21" t="str">
        <v>Concrete Curing</v>
      </c>
      <c r="E77" s="21" t="str">
        <v>00.10</v>
      </c>
      <c r="F77" s="34" t="str">
        <v>مواد معالجة الخرسانه</v>
      </c>
      <c r="G77" s="21" t="str">
        <v>Concrete Treatment Materials</v>
      </c>
      <c r="H77" s="21" t="str">
        <v>03</v>
      </c>
      <c r="I77" s="21" t="str">
        <v>03 39 00.1003</v>
      </c>
      <c r="J77" s="21" t="str">
        <v>ماده معالجه ناعم / الكيس 18 كجم</v>
      </c>
      <c r="K77" s="21" t="str">
        <v>CEMFAIR SMOOTH (DCP) 18 kg Bag</v>
      </c>
      <c r="L77" s="21">
        <v>0</v>
      </c>
    </row>
    <row r="78" spans="1:12" ht="30" x14ac:dyDescent="0.25">
      <c r="A78" s="30" t="str">
        <v>03</v>
      </c>
      <c r="B78" s="21" t="str">
        <v>Concrete</v>
      </c>
      <c r="C78" s="21" t="str">
        <v>39</v>
      </c>
      <c r="D78" s="21" t="str">
        <v>Concrete Curing</v>
      </c>
      <c r="E78" s="21" t="str">
        <v>00.10</v>
      </c>
      <c r="F78" s="34" t="str">
        <v>مواد معالجة الخرسانه</v>
      </c>
      <c r="G78" s="21" t="str">
        <v>Concrete Treatment Materials</v>
      </c>
      <c r="H78" s="21" t="str">
        <v>04</v>
      </c>
      <c r="I78" s="21" t="str">
        <v>03 39 00.1004</v>
      </c>
      <c r="J78" s="21" t="str">
        <v>ماده معالجه ناعم / الكيس 25 كجم</v>
      </c>
      <c r="K78" s="21" t="str">
        <v>CEMFAIR SMOOTH (DCP) 25 kg Bag</v>
      </c>
      <c r="L78" s="21">
        <v>0</v>
      </c>
    </row>
    <row r="79" spans="1:12" ht="30" x14ac:dyDescent="0.25">
      <c r="A79" s="58" t="str">
        <v>03</v>
      </c>
      <c r="B79" s="23" t="str">
        <v>Concrete</v>
      </c>
      <c r="C79" s="23" t="str">
        <v>39</v>
      </c>
      <c r="D79" s="23" t="str">
        <v>Concrete Curing</v>
      </c>
      <c r="E79" s="23" t="str">
        <v>00.10</v>
      </c>
      <c r="F79" s="36" t="str">
        <v>مواد معالجة الخرسانه</v>
      </c>
      <c r="G79" s="23" t="str">
        <v>Concrete Treatment Materials</v>
      </c>
      <c r="H79" s="23" t="str">
        <v>05</v>
      </c>
      <c r="I79" s="23" t="str">
        <v>03 39 00.1005</v>
      </c>
      <c r="J79" s="23" t="str">
        <v>زنك رنش معالجه الصدأ</v>
      </c>
      <c r="K79" s="23" t="str">
        <v>Zinc Rich Rust Treatment</v>
      </c>
      <c r="L79" s="23">
        <v>0</v>
      </c>
    </row>
    <row r="80" spans="1:12" ht="30" x14ac:dyDescent="0.25">
      <c r="A80" s="30" t="str">
        <v>03</v>
      </c>
      <c r="B80" s="21" t="str">
        <v>Concrete</v>
      </c>
      <c r="C80" s="21" t="str">
        <v>39</v>
      </c>
      <c r="D80" s="21" t="str">
        <v>Concrete Curing</v>
      </c>
      <c r="E80" s="21" t="str">
        <v>00.10</v>
      </c>
      <c r="F80" s="34" t="str">
        <v>مواد معالجة الخرسانه</v>
      </c>
      <c r="G80" s="21" t="str">
        <v>Concrete Treatment Materials</v>
      </c>
      <c r="H80" s="21" t="str">
        <v>06</v>
      </c>
      <c r="I80" s="21" t="str">
        <v>03 39 00.1006</v>
      </c>
      <c r="J80" s="21" t="str">
        <v>ماده ربط الخرسانه بولى</v>
      </c>
      <c r="K80" s="21" t="str">
        <v>Concrete Bonding Poly Material</v>
      </c>
      <c r="L80" s="21">
        <v>0</v>
      </c>
    </row>
    <row r="81" spans="1:12" ht="30" x14ac:dyDescent="0.25">
      <c r="A81" s="30" t="str">
        <v>03</v>
      </c>
      <c r="B81" s="21" t="str">
        <v>Concrete</v>
      </c>
      <c r="C81" s="21" t="str">
        <v>39</v>
      </c>
      <c r="D81" s="21" t="str">
        <v>Concrete Curing</v>
      </c>
      <c r="E81" s="21" t="str">
        <v>00.10</v>
      </c>
      <c r="F81" s="34" t="str">
        <v>مواد معالجة الخرسانه</v>
      </c>
      <c r="G81" s="21" t="str">
        <v>Concrete Treatment Materials</v>
      </c>
      <c r="H81" s="21" t="str">
        <v>07</v>
      </c>
      <c r="I81" s="21" t="str">
        <v>03 39 00.1007</v>
      </c>
      <c r="J81" s="21" t="str">
        <v>ماده معالجه خشن / الكيس 20 كجم</v>
      </c>
      <c r="K81" s="21" t="str">
        <v>CEMFAIR SMOOTH (DCP) 20 kg Bag</v>
      </c>
      <c r="L81" s="21">
        <v>0</v>
      </c>
    </row>
    <row r="82" spans="1:12" x14ac:dyDescent="0.25">
      <c r="A82" s="30" t="str">
        <v>04</v>
      </c>
      <c r="B82" s="21" t="str">
        <v>Masonry</v>
      </c>
      <c r="C82" s="21" t="str">
        <v>20</v>
      </c>
      <c r="D82" s="21" t="str">
        <v>Unit Masonry</v>
      </c>
      <c r="E82" s="21" t="str">
        <v>00.10</v>
      </c>
      <c r="F82" s="34" t="str">
        <v>البلوك</v>
      </c>
      <c r="G82" s="21" t="str">
        <v>Blocks</v>
      </c>
      <c r="H82" s="21" t="str">
        <v>01</v>
      </c>
      <c r="I82" s="21" t="str">
        <v>04 20 00.1001</v>
      </c>
      <c r="J82" s="21" t="str">
        <v>بلوك مصمت 20 سم</v>
      </c>
      <c r="K82" s="21" t="str">
        <v>SOLID BLOCK 20 CM</v>
      </c>
      <c r="L82" s="21" t="str">
        <v>Piece</v>
      </c>
    </row>
    <row r="83" spans="1:12" x14ac:dyDescent="0.25">
      <c r="A83" s="30" t="str">
        <v>04</v>
      </c>
      <c r="B83" s="21" t="str">
        <v>Masonry</v>
      </c>
      <c r="C83" s="21" t="str">
        <v>20</v>
      </c>
      <c r="D83" s="21" t="str">
        <v>Unit Masonry</v>
      </c>
      <c r="E83" s="21" t="str">
        <v>00.10</v>
      </c>
      <c r="F83" s="34" t="str">
        <v>البلوك</v>
      </c>
      <c r="G83" s="21" t="str">
        <v>Blocks</v>
      </c>
      <c r="H83" s="21" t="str">
        <v>02</v>
      </c>
      <c r="I83" s="21" t="str">
        <v>04 20 00.1002</v>
      </c>
      <c r="J83" s="21" t="str">
        <v>بلوك مصمت 10 سم</v>
      </c>
      <c r="K83" s="21" t="str">
        <v>SOLID BLOCK 10 CM</v>
      </c>
      <c r="L83" s="21" t="str">
        <v>Piece</v>
      </c>
    </row>
    <row r="84" spans="1:12" x14ac:dyDescent="0.25">
      <c r="A84" s="30" t="str">
        <v>04</v>
      </c>
      <c r="B84" s="21" t="str">
        <v>Masonry</v>
      </c>
      <c r="C84" s="21" t="str">
        <v>20</v>
      </c>
      <c r="D84" s="21" t="str">
        <v>Unit Masonry</v>
      </c>
      <c r="E84" s="21" t="str">
        <v>00.10</v>
      </c>
      <c r="F84" s="34" t="str">
        <v>البلوك</v>
      </c>
      <c r="G84" s="21" t="str">
        <v>Blocks</v>
      </c>
      <c r="H84" s="21" t="str">
        <v>03</v>
      </c>
      <c r="I84" s="21" t="str">
        <v>04 20 00.1003</v>
      </c>
      <c r="J84" s="21" t="str">
        <v>بلوك معزول 25 سم</v>
      </c>
      <c r="K84" s="21" t="str">
        <v>INSULATED BLOCK 25 CM</v>
      </c>
      <c r="L84" s="21" t="str">
        <v>Piece</v>
      </c>
    </row>
    <row r="85" spans="1:12" x14ac:dyDescent="0.25">
      <c r="A85" s="30" t="str">
        <v>04</v>
      </c>
      <c r="B85" s="21" t="str">
        <v>Masonry</v>
      </c>
      <c r="C85" s="21" t="str">
        <v>20</v>
      </c>
      <c r="D85" s="21" t="str">
        <v>Unit Masonry</v>
      </c>
      <c r="E85" s="21" t="str">
        <v>00.10</v>
      </c>
      <c r="F85" s="34" t="str">
        <v>البلوك</v>
      </c>
      <c r="G85" s="21" t="str">
        <v>Blocks</v>
      </c>
      <c r="H85" s="21" t="str">
        <v>04</v>
      </c>
      <c r="I85" s="21" t="str">
        <v>04 20 00.1004</v>
      </c>
      <c r="J85" s="21" t="str">
        <v>بلوك معزول 20 سم</v>
      </c>
      <c r="K85" s="21" t="str">
        <v>INSULATED BLOCK 20 CM</v>
      </c>
      <c r="L85" s="21" t="str">
        <v>Piece</v>
      </c>
    </row>
    <row r="86" spans="1:12" x14ac:dyDescent="0.25">
      <c r="A86" s="30" t="str">
        <v>04</v>
      </c>
      <c r="B86" s="21" t="str">
        <v>Masonry</v>
      </c>
      <c r="C86" s="21" t="str">
        <v>20</v>
      </c>
      <c r="D86" s="21" t="str">
        <v>Unit Masonry</v>
      </c>
      <c r="E86" s="21" t="str">
        <v>00.10</v>
      </c>
      <c r="F86" s="34" t="str">
        <v>البلوك</v>
      </c>
      <c r="G86" s="21" t="str">
        <v>Blocks</v>
      </c>
      <c r="H86" s="21" t="str">
        <v>05</v>
      </c>
      <c r="I86" s="21" t="str">
        <v>04 20 00.1005</v>
      </c>
      <c r="J86" s="21" t="str">
        <v>بلوك عادى 20 سم</v>
      </c>
      <c r="K86" s="21" t="str">
        <v>ORDINARY BLOCK 20 CM</v>
      </c>
      <c r="L86" s="21" t="str">
        <v>Piece</v>
      </c>
    </row>
    <row r="87" spans="1:12" x14ac:dyDescent="0.25">
      <c r="A87" s="30" t="str">
        <v>04</v>
      </c>
      <c r="B87" s="21" t="str">
        <v>Masonry</v>
      </c>
      <c r="C87" s="21" t="str">
        <v>20</v>
      </c>
      <c r="D87" s="21" t="str">
        <v>Unit Masonry</v>
      </c>
      <c r="E87" s="21" t="str">
        <v>00.10</v>
      </c>
      <c r="F87" s="34" t="str">
        <v>البلوك</v>
      </c>
      <c r="G87" s="21" t="str">
        <v>Blocks</v>
      </c>
      <c r="H87" s="21" t="str">
        <v>06</v>
      </c>
      <c r="I87" s="21" t="str">
        <v>04 20 00.1006</v>
      </c>
      <c r="J87" s="21" t="str">
        <v>بلوك عادى 15 سم</v>
      </c>
      <c r="K87" s="21" t="str">
        <v>ORDINARY BLOCK 15 CM</v>
      </c>
      <c r="L87" s="21" t="str">
        <v>Piece</v>
      </c>
    </row>
    <row r="88" spans="1:12" x14ac:dyDescent="0.25">
      <c r="A88" s="30" t="str">
        <v>04</v>
      </c>
      <c r="B88" s="21" t="str">
        <v>Masonry</v>
      </c>
      <c r="C88" s="21" t="str">
        <v>20</v>
      </c>
      <c r="D88" s="21" t="str">
        <v>Unit Masonry</v>
      </c>
      <c r="E88" s="21" t="str">
        <v>00.10</v>
      </c>
      <c r="F88" s="34" t="str">
        <v>البلوك</v>
      </c>
      <c r="G88" s="21" t="str">
        <v>Blocks</v>
      </c>
      <c r="H88" s="21" t="str">
        <v>07</v>
      </c>
      <c r="I88" s="21" t="str">
        <v>04 20 00.1007</v>
      </c>
      <c r="J88" s="21" t="str">
        <v>بلوك عادى 10 سم</v>
      </c>
      <c r="K88" s="21" t="str">
        <v>ORDINARY BLOCK 10 CM</v>
      </c>
      <c r="L88" s="21" t="str">
        <v>Piece</v>
      </c>
    </row>
    <row r="89" spans="1:12" x14ac:dyDescent="0.25">
      <c r="A89" s="30" t="str">
        <v>04</v>
      </c>
      <c r="B89" s="21" t="str">
        <v>Masonry</v>
      </c>
      <c r="C89" s="21" t="str">
        <v>20</v>
      </c>
      <c r="D89" s="21" t="str">
        <v>Unit Masonry</v>
      </c>
      <c r="E89" s="21" t="str">
        <v>00.10</v>
      </c>
      <c r="F89" s="34" t="str">
        <v>البلوك</v>
      </c>
      <c r="G89" s="21" t="str">
        <v>Blocks</v>
      </c>
      <c r="H89" s="21" t="str">
        <v>08</v>
      </c>
      <c r="I89" s="21" t="str">
        <v>04 20 00.1008</v>
      </c>
      <c r="J89" s="21" t="str">
        <v>بلوك على شكل حرف U للتمديدات</v>
      </c>
      <c r="K89" s="21" t="str">
        <v>BLOCK FOR SLEEVES</v>
      </c>
      <c r="L89" s="21" t="str">
        <v>Piece</v>
      </c>
    </row>
    <row r="90" spans="1:12" x14ac:dyDescent="0.25">
      <c r="A90" s="30" t="str">
        <v>04</v>
      </c>
      <c r="B90" s="21" t="str">
        <v>Masonry</v>
      </c>
      <c r="C90" s="21" t="str">
        <v>20</v>
      </c>
      <c r="D90" s="21" t="str">
        <v>Unit Masonry</v>
      </c>
      <c r="E90" s="21" t="str">
        <v>00.10</v>
      </c>
      <c r="F90" s="34" t="str">
        <v>البلوك</v>
      </c>
      <c r="G90" s="21" t="str">
        <v>Blocks</v>
      </c>
      <c r="H90" s="21" t="str">
        <v>09</v>
      </c>
      <c r="I90" s="21" t="str">
        <v>04 20 00.1009</v>
      </c>
      <c r="J90" s="21" t="str">
        <v>بلوك عادى 30 سم</v>
      </c>
      <c r="K90" s="21" t="str">
        <v>ORDINARY BLOCK 30 CM</v>
      </c>
      <c r="L90" s="21" t="str">
        <v>Piece</v>
      </c>
    </row>
    <row r="91" spans="1:12" x14ac:dyDescent="0.25">
      <c r="A91" s="30" t="str">
        <v>04</v>
      </c>
      <c r="B91" s="21" t="str">
        <v>Masonry</v>
      </c>
      <c r="C91" s="21" t="str">
        <v>20</v>
      </c>
      <c r="D91" s="21" t="str">
        <v>Unit Masonry</v>
      </c>
      <c r="E91" s="21" t="str">
        <v>00.10</v>
      </c>
      <c r="F91" s="34" t="str">
        <v>البلوك</v>
      </c>
      <c r="G91" s="21" t="str">
        <v>Blocks</v>
      </c>
      <c r="H91" s="21" t="str">
        <v>10</v>
      </c>
      <c r="I91" s="21" t="str">
        <v>04 20 00.1010</v>
      </c>
      <c r="J91" s="21" t="str">
        <v>بلوك عادى 25 سم</v>
      </c>
      <c r="K91" s="21" t="str">
        <v>ORDINARY BLOCK 25 CM</v>
      </c>
      <c r="L91" s="21" t="str">
        <v>Piece</v>
      </c>
    </row>
    <row r="92" spans="1:12" x14ac:dyDescent="0.25">
      <c r="A92" s="30" t="str">
        <v>04</v>
      </c>
      <c r="B92" s="21" t="str">
        <v>Masonry</v>
      </c>
      <c r="C92" s="21" t="str">
        <v>25</v>
      </c>
      <c r="D92" s="21" t="str">
        <v>Masonry Assemblies</v>
      </c>
      <c r="E92" s="21" t="str">
        <v>00.10</v>
      </c>
      <c r="F92" s="34" t="str">
        <v>اكسسوارات البلوك</v>
      </c>
      <c r="G92" s="21" t="str">
        <v>Block Accessories</v>
      </c>
      <c r="H92" s="21" t="str">
        <v>01</v>
      </c>
      <c r="I92" s="21" t="str">
        <v>04 25 00.1001</v>
      </c>
      <c r="J92" s="21" t="str">
        <v>زاويه بلوك 2.5 سم</v>
      </c>
      <c r="K92" s="21" t="str">
        <v>Block Corner 2.5 cm</v>
      </c>
      <c r="L92" s="21" t="str">
        <v>Piece</v>
      </c>
    </row>
    <row r="93" spans="1:12" x14ac:dyDescent="0.25">
      <c r="A93" s="30" t="str">
        <v>04</v>
      </c>
      <c r="B93" s="21" t="str">
        <v>Masonry</v>
      </c>
      <c r="C93" s="21" t="str">
        <v>25</v>
      </c>
      <c r="D93" s="21" t="str">
        <v>Masonry Assemblies</v>
      </c>
      <c r="E93" s="21" t="str">
        <v>00.10</v>
      </c>
      <c r="F93" s="34" t="str">
        <v>اكسسوارات البلوك</v>
      </c>
      <c r="G93" s="21" t="str">
        <v>Block Accessories</v>
      </c>
      <c r="H93" s="21" t="str">
        <v>02</v>
      </c>
      <c r="I93" s="21" t="str">
        <v>04 25 00.1002</v>
      </c>
      <c r="J93" s="21" t="str">
        <v>زاويه بلوك 5 سم</v>
      </c>
      <c r="K93" s="21" t="str">
        <v>Block Corner 5 cm</v>
      </c>
      <c r="L93" s="21" t="str">
        <v>Piece</v>
      </c>
    </row>
    <row r="94" spans="1:12" x14ac:dyDescent="0.25">
      <c r="A94" s="30" t="str">
        <v>04</v>
      </c>
      <c r="B94" s="21" t="str">
        <v>Masonry</v>
      </c>
      <c r="C94" s="21" t="str">
        <v>25</v>
      </c>
      <c r="D94" s="21" t="str">
        <v>Masonry Assemblies</v>
      </c>
      <c r="E94" s="21" t="str">
        <v>00.10</v>
      </c>
      <c r="F94" s="34" t="str">
        <v>اكسسوارات البلوك</v>
      </c>
      <c r="G94" s="21" t="str">
        <v>Block Accessories</v>
      </c>
      <c r="H94" s="21" t="str">
        <v>03</v>
      </c>
      <c r="I94" s="21" t="str">
        <v>04 25 00.1003</v>
      </c>
      <c r="J94" s="21" t="str">
        <v>سلم بلوك عرض 20 سم</v>
      </c>
      <c r="K94" s="21" t="str">
        <v>Block Ladder 20 cm width</v>
      </c>
      <c r="L94" s="21" t="str">
        <v>Piece</v>
      </c>
    </row>
    <row r="95" spans="1:12" x14ac:dyDescent="0.25">
      <c r="A95" s="30" t="str">
        <v>04</v>
      </c>
      <c r="B95" s="21" t="str">
        <v>Masonry</v>
      </c>
      <c r="C95" s="21" t="str">
        <v>25</v>
      </c>
      <c r="D95" s="21" t="str">
        <v>Masonry Assemblies</v>
      </c>
      <c r="E95" s="21" t="str">
        <v>00.10</v>
      </c>
      <c r="F95" s="34" t="str">
        <v>اكسسوارات البلوك</v>
      </c>
      <c r="G95" s="21" t="str">
        <v>Block Accessories</v>
      </c>
      <c r="H95" s="21" t="str">
        <v>04</v>
      </c>
      <c r="I95" s="21" t="str">
        <v>04 25 00.1004</v>
      </c>
      <c r="J95" s="21" t="str">
        <v>سلم بلوك عرض 15 سم</v>
      </c>
      <c r="K95" s="21" t="str">
        <v>Block Ladder 15 cm width</v>
      </c>
      <c r="L95" s="21" t="str">
        <v>Piece</v>
      </c>
    </row>
    <row r="96" spans="1:12" x14ac:dyDescent="0.25">
      <c r="A96" s="30" t="str">
        <v>04</v>
      </c>
      <c r="B96" s="21" t="str">
        <v>Masonry</v>
      </c>
      <c r="C96" s="21" t="str">
        <v>25</v>
      </c>
      <c r="D96" s="21" t="str">
        <v>Masonry Assemblies</v>
      </c>
      <c r="E96" s="21" t="str">
        <v>00.10</v>
      </c>
      <c r="F96" s="34" t="str">
        <v>اكسسوارات البلوك</v>
      </c>
      <c r="G96" s="21" t="str">
        <v>Block Accessories</v>
      </c>
      <c r="H96" s="21" t="str">
        <v>05</v>
      </c>
      <c r="I96" s="21" t="str">
        <v>04 25 00.1005</v>
      </c>
      <c r="J96" s="21" t="str">
        <v>سلم بلوك عرض 10 سم</v>
      </c>
      <c r="K96" s="21" t="str">
        <v>Block Ladder 10 cm width</v>
      </c>
      <c r="L96" s="21" t="str">
        <v>Piece</v>
      </c>
    </row>
    <row r="97" spans="1:12" x14ac:dyDescent="0.25">
      <c r="A97" s="30" t="str">
        <v>04</v>
      </c>
      <c r="B97" s="21" t="str">
        <v>Masonry</v>
      </c>
      <c r="C97" s="21" t="str">
        <v>25</v>
      </c>
      <c r="D97" s="21" t="str">
        <v>Masonry Assemblies</v>
      </c>
      <c r="E97" s="21" t="str">
        <v>00.10</v>
      </c>
      <c r="F97" s="34" t="str">
        <v>اكسسوارات البلوك</v>
      </c>
      <c r="G97" s="21" t="str">
        <v>Block Accessories</v>
      </c>
      <c r="H97" s="21" t="str">
        <v>06</v>
      </c>
      <c r="I97" s="21" t="str">
        <v>04 25 00.1006</v>
      </c>
      <c r="J97" s="21" t="str">
        <v>سلم بلوك عرض 5 سم</v>
      </c>
      <c r="K97" s="21" t="str">
        <v>Block Ladder 5 cm width</v>
      </c>
      <c r="L97" s="21" t="str">
        <v>Piece</v>
      </c>
    </row>
    <row r="98" spans="1:12" ht="21" x14ac:dyDescent="0.25">
      <c r="A98" s="30" t="str">
        <v>04</v>
      </c>
      <c r="B98" s="21" t="str">
        <v>Masonry</v>
      </c>
      <c r="C98" s="21" t="str">
        <v>25</v>
      </c>
      <c r="D98" s="21" t="str">
        <v>Masonry Assemblies</v>
      </c>
      <c r="E98" s="21" t="str">
        <v>00.10</v>
      </c>
      <c r="F98" s="34" t="str">
        <v>اكسسوارات البلوك</v>
      </c>
      <c r="G98" s="21" t="str">
        <v>Block Accessories</v>
      </c>
      <c r="H98" s="21" t="str">
        <v>07</v>
      </c>
      <c r="I98" s="21" t="str">
        <v>04 25 00.1007</v>
      </c>
      <c r="J98" s="43" t="str">
        <v>كانه</v>
      </c>
      <c r="K98" s="21" t="str">
        <v>Kana (Block Reinforcement)</v>
      </c>
      <c r="L98" s="21" t="str">
        <v>Piece</v>
      </c>
    </row>
    <row r="99" spans="1:12" x14ac:dyDescent="0.25">
      <c r="A99" s="30" t="str">
        <v>04</v>
      </c>
      <c r="B99" s="21" t="str">
        <v>Masonry</v>
      </c>
      <c r="C99" s="21" t="str">
        <v>25</v>
      </c>
      <c r="D99" s="21" t="str">
        <v>Masonry Assemblies</v>
      </c>
      <c r="E99" s="21" t="str">
        <v>00.10</v>
      </c>
      <c r="F99" s="34" t="str">
        <v>اكسسوارات البلوك</v>
      </c>
      <c r="G99" s="21" t="str">
        <v>Block Accessories</v>
      </c>
      <c r="H99" s="21" t="str">
        <v>09</v>
      </c>
      <c r="I99" s="21" t="str">
        <v>04 25 00.1009</v>
      </c>
      <c r="J99" s="21" t="str">
        <v>علبه مسمار طلقات</v>
      </c>
      <c r="K99" s="21" t="str">
        <v>Nail Cartridges</v>
      </c>
      <c r="L99" s="21">
        <v>0</v>
      </c>
    </row>
    <row r="100" spans="1:12" x14ac:dyDescent="0.25">
      <c r="A100" s="30" t="str">
        <v>04</v>
      </c>
      <c r="B100" s="21" t="str">
        <v>Masonry</v>
      </c>
      <c r="C100" s="21" t="str">
        <v>25</v>
      </c>
      <c r="D100" s="21" t="str">
        <v>Masonry Assemblies</v>
      </c>
      <c r="E100" s="21" t="str">
        <v>00.10</v>
      </c>
      <c r="F100" s="34" t="str">
        <v>اكسسوارات البلوك</v>
      </c>
      <c r="G100" s="21" t="str">
        <v>Block Accessories</v>
      </c>
      <c r="H100" s="21" t="str">
        <v>10</v>
      </c>
      <c r="I100" s="21" t="str">
        <v>04 25 00.1010</v>
      </c>
      <c r="J100" s="21" t="str">
        <v>سلم بلوك عرض 25 سم</v>
      </c>
      <c r="K100" s="21" t="str">
        <v>Block Ladder 25 cm width</v>
      </c>
      <c r="L100" s="21" t="str">
        <v>Piece</v>
      </c>
    </row>
    <row r="101" spans="1:12" x14ac:dyDescent="0.25">
      <c r="A101" s="30" t="str">
        <v>05</v>
      </c>
      <c r="B101" s="21" t="str">
        <v>Metals</v>
      </c>
      <c r="C101" s="21" t="str">
        <v>50</v>
      </c>
      <c r="D101" s="21" t="str">
        <v>Metal Fabrications</v>
      </c>
      <c r="E101" s="21" t="str">
        <v>00.10</v>
      </c>
      <c r="F101" s="34" t="str">
        <v>السقالات</v>
      </c>
      <c r="G101" s="21" t="str">
        <v>Scaffolding</v>
      </c>
      <c r="H101" s="21" t="str">
        <v>01</v>
      </c>
      <c r="I101" s="21" t="str">
        <v>05 50 00.1001</v>
      </c>
      <c r="J101" s="21" t="str">
        <v>فريم مدهون مع سلم</v>
      </c>
      <c r="K101" s="21" t="str">
        <v>Painted Frame with Ladder</v>
      </c>
      <c r="L101" s="21">
        <v>0</v>
      </c>
    </row>
    <row r="102" spans="1:12" x14ac:dyDescent="0.25">
      <c r="A102" s="30" t="str">
        <v>05</v>
      </c>
      <c r="B102" s="21" t="str">
        <v>Metals</v>
      </c>
      <c r="C102" s="21" t="str">
        <v>50</v>
      </c>
      <c r="D102" s="21" t="str">
        <v>Metal Fabrications</v>
      </c>
      <c r="E102" s="21" t="str">
        <v>00.10</v>
      </c>
      <c r="F102" s="34" t="str">
        <v>السقالات</v>
      </c>
      <c r="G102" s="21" t="str">
        <v>Scaffolding</v>
      </c>
      <c r="H102" s="21" t="str">
        <v>02</v>
      </c>
      <c r="I102" s="21" t="str">
        <v>05 50 00.1002</v>
      </c>
      <c r="J102" s="21" t="str">
        <v>فريم مدهون بدون سلم</v>
      </c>
      <c r="K102" s="21" t="str">
        <v>Painted Frame without Ladder</v>
      </c>
      <c r="L102" s="21">
        <v>0</v>
      </c>
    </row>
    <row r="103" spans="1:12" x14ac:dyDescent="0.25">
      <c r="A103" s="30" t="str">
        <v>05</v>
      </c>
      <c r="B103" s="21" t="str">
        <v>Metals</v>
      </c>
      <c r="C103" s="21" t="str">
        <v>50</v>
      </c>
      <c r="D103" s="21" t="str">
        <v>Metal Fabrications</v>
      </c>
      <c r="E103" s="21" t="str">
        <v>00.10</v>
      </c>
      <c r="F103" s="34" t="str">
        <v>السقالات</v>
      </c>
      <c r="G103" s="21" t="str">
        <v>Scaffolding</v>
      </c>
      <c r="H103" s="21" t="str">
        <v>03</v>
      </c>
      <c r="I103" s="21" t="str">
        <v>05 50 00.1003</v>
      </c>
      <c r="J103" s="21" t="str">
        <v>مقصات عرضيه</v>
      </c>
      <c r="K103" s="21" t="str">
        <v>Cross Braces</v>
      </c>
      <c r="L103" s="21">
        <v>0</v>
      </c>
    </row>
    <row r="104" spans="1:12" x14ac:dyDescent="0.25">
      <c r="A104" s="30" t="str">
        <v>05</v>
      </c>
      <c r="B104" s="21" t="str">
        <v>Metals</v>
      </c>
      <c r="C104" s="21" t="str">
        <v>50</v>
      </c>
      <c r="D104" s="21" t="str">
        <v>Metal Fabrications</v>
      </c>
      <c r="E104" s="21" t="str">
        <v>00.10</v>
      </c>
      <c r="F104" s="34" t="str">
        <v>السقالات</v>
      </c>
      <c r="G104" s="21" t="str">
        <v>Scaffolding</v>
      </c>
      <c r="H104" s="21" t="str">
        <v>04</v>
      </c>
      <c r="I104" s="21" t="str">
        <v>05 50 00.1004</v>
      </c>
      <c r="J104" s="21" t="str">
        <v>مقصات افقيه ( قصيره )</v>
      </c>
      <c r="K104" s="21" t="str">
        <v>Horizontal Braces (Short)</v>
      </c>
      <c r="L104" s="21">
        <v>0</v>
      </c>
    </row>
    <row r="105" spans="1:12" x14ac:dyDescent="0.25">
      <c r="A105" s="30" t="str">
        <v>05</v>
      </c>
      <c r="B105" s="21" t="str">
        <v>Metals</v>
      </c>
      <c r="C105" s="21" t="str">
        <v>50</v>
      </c>
      <c r="D105" s="21" t="str">
        <v>Metal Fabrications</v>
      </c>
      <c r="E105" s="21" t="str">
        <v>00.10</v>
      </c>
      <c r="F105" s="34" t="str">
        <v>السقالات</v>
      </c>
      <c r="G105" s="21" t="str">
        <v>Scaffolding</v>
      </c>
      <c r="H105" s="21" t="str">
        <v>05</v>
      </c>
      <c r="I105" s="21" t="str">
        <v>05 50 00.1005</v>
      </c>
      <c r="J105" s="21" t="str">
        <v>قاعده جاك</v>
      </c>
      <c r="K105" s="21" t="str">
        <v>Jack Base</v>
      </c>
      <c r="L105" s="21">
        <v>0</v>
      </c>
    </row>
    <row r="106" spans="1:12" x14ac:dyDescent="0.25">
      <c r="A106" s="30" t="str">
        <v>05</v>
      </c>
      <c r="B106" s="21" t="str">
        <v>Metals</v>
      </c>
      <c r="C106" s="21" t="str">
        <v>50</v>
      </c>
      <c r="D106" s="21" t="str">
        <v>Metal Fabrications</v>
      </c>
      <c r="E106" s="21" t="str">
        <v>00.10</v>
      </c>
      <c r="F106" s="34" t="str">
        <v>السقالات</v>
      </c>
      <c r="G106" s="21" t="str">
        <v>Scaffolding</v>
      </c>
      <c r="H106" s="21" t="str">
        <v>06</v>
      </c>
      <c r="I106" s="21" t="str">
        <v>05 50 00.1006</v>
      </c>
      <c r="J106" s="21" t="str">
        <v>شده معدنيه</v>
      </c>
      <c r="K106" s="21" t="str">
        <v>Metal Tensioner</v>
      </c>
      <c r="L106" s="21">
        <v>0</v>
      </c>
    </row>
    <row r="107" spans="1:12" x14ac:dyDescent="0.25">
      <c r="A107" s="30" t="str">
        <v>05</v>
      </c>
      <c r="B107" s="21" t="str">
        <v>Metals</v>
      </c>
      <c r="C107" s="21" t="str">
        <v>50</v>
      </c>
      <c r="D107" s="21" t="str">
        <v>Metal Fabrications</v>
      </c>
      <c r="E107" s="21" t="str">
        <v>00.10</v>
      </c>
      <c r="F107" s="34" t="str">
        <v>السقالات</v>
      </c>
      <c r="G107" s="21" t="str">
        <v>Scaffolding</v>
      </c>
      <c r="H107" s="21" t="str">
        <v>07</v>
      </c>
      <c r="I107" s="21" t="str">
        <v>05 50 00.1007</v>
      </c>
      <c r="J107" s="21" t="str">
        <v>جاكات</v>
      </c>
      <c r="K107" s="21" t="str">
        <v>Jacks</v>
      </c>
      <c r="L107" s="21">
        <v>0</v>
      </c>
    </row>
    <row r="108" spans="1:12" ht="30" x14ac:dyDescent="0.25">
      <c r="A108" s="30" t="str">
        <v>07</v>
      </c>
      <c r="B108" s="21" t="str">
        <v>Thermal and Moisture Protection</v>
      </c>
      <c r="C108" s="21" t="str">
        <v>10</v>
      </c>
      <c r="D108" s="21" t="str">
        <v>Dampproofing and Waterproofing</v>
      </c>
      <c r="E108" s="21" t="str">
        <v>00.10</v>
      </c>
      <c r="F108" s="34" t="str">
        <v>مواد العزل</v>
      </c>
      <c r="G108" s="21" t="str">
        <v>Insulation Materials</v>
      </c>
      <c r="H108" s="21" t="str">
        <v>01</v>
      </c>
      <c r="I108" s="21" t="str">
        <v>07 10 00.1001</v>
      </c>
      <c r="J108" s="21" t="str">
        <v>دهان بيتومين لعزل الأساسات</v>
      </c>
      <c r="K108" s="21" t="str">
        <v>Bituminous Paint for Foundation Insulation</v>
      </c>
      <c r="L108" s="21">
        <v>0</v>
      </c>
    </row>
    <row r="109" spans="1:12" ht="30" x14ac:dyDescent="0.25">
      <c r="A109" s="30" t="str">
        <v>07</v>
      </c>
      <c r="B109" s="21" t="str">
        <v>Thermal and Moisture Protection</v>
      </c>
      <c r="C109" s="21" t="str">
        <v>10</v>
      </c>
      <c r="D109" s="21" t="str">
        <v>Dampproofing and Waterproofing</v>
      </c>
      <c r="E109" s="21" t="str">
        <v>00.10</v>
      </c>
      <c r="F109" s="34" t="str">
        <v>مواد العزل</v>
      </c>
      <c r="G109" s="21" t="str">
        <v>Insulation Materials</v>
      </c>
      <c r="H109" s="21" t="str">
        <v>02</v>
      </c>
      <c r="I109" s="21" t="str">
        <v>07 10 00.1002</v>
      </c>
      <c r="J109" s="21" t="str">
        <v>بريمر داخلي لعزل الحمامات</v>
      </c>
      <c r="K109" s="21" t="str">
        <v>Interior Primer for Bathroom Insulation</v>
      </c>
      <c r="L109" s="21">
        <v>0</v>
      </c>
    </row>
    <row r="110" spans="1:12" ht="30" x14ac:dyDescent="0.25">
      <c r="A110" s="30" t="str">
        <v>07</v>
      </c>
      <c r="B110" s="21" t="str">
        <v>Thermal and Moisture Protection</v>
      </c>
      <c r="C110" s="21" t="str">
        <v>10</v>
      </c>
      <c r="D110" s="21" t="str">
        <v>Dampproofing and Waterproofing</v>
      </c>
      <c r="E110" s="21" t="str">
        <v>00.10</v>
      </c>
      <c r="F110" s="34" t="str">
        <v>مواد العزل</v>
      </c>
      <c r="G110" s="21" t="str">
        <v>Insulation Materials</v>
      </c>
      <c r="H110" s="21" t="str">
        <v>03</v>
      </c>
      <c r="I110" s="21" t="str">
        <v>07 10 00.1003</v>
      </c>
      <c r="J110" s="21" t="str">
        <v>لفائف البيتومين لعزل الحمامات</v>
      </c>
      <c r="K110" s="21" t="str">
        <v>Bituminous Rolls for Bathroom Insulation</v>
      </c>
      <c r="L110" s="21">
        <v>0</v>
      </c>
    </row>
    <row r="111" spans="1:12" ht="30" x14ac:dyDescent="0.25">
      <c r="A111" s="30" t="str">
        <v>07</v>
      </c>
      <c r="B111" s="21" t="str">
        <v>Thermal and Moisture Protection</v>
      </c>
      <c r="C111" s="21" t="str">
        <v>10</v>
      </c>
      <c r="D111" s="21" t="str">
        <v>Dampproofing and Waterproofing</v>
      </c>
      <c r="E111" s="21" t="str">
        <v>00.10</v>
      </c>
      <c r="F111" s="34" t="str">
        <v>مواد العزل</v>
      </c>
      <c r="G111" s="21" t="str">
        <v>Insulation Materials</v>
      </c>
      <c r="H111" s="21" t="str">
        <v>04</v>
      </c>
      <c r="I111" s="21" t="str">
        <v>07 10 00.1004</v>
      </c>
      <c r="J111" s="21" t="str">
        <v>الألياف</v>
      </c>
      <c r="K111" s="21" t="str">
        <v>Fibers</v>
      </c>
      <c r="L111" s="21">
        <v>0</v>
      </c>
    </row>
    <row r="112" spans="1:12" ht="30" x14ac:dyDescent="0.25">
      <c r="A112" s="30" t="str">
        <v>07</v>
      </c>
      <c r="B112" s="21" t="str">
        <v>Thermal and Moisture Protection</v>
      </c>
      <c r="C112" s="21" t="str">
        <v>10</v>
      </c>
      <c r="D112" s="21" t="str">
        <v>Dampproofing and Waterproofing</v>
      </c>
      <c r="E112" s="21" t="str">
        <v>00.10</v>
      </c>
      <c r="F112" s="34" t="str">
        <v>مواد العزل</v>
      </c>
      <c r="G112" s="21" t="str">
        <v>Insulation Materials</v>
      </c>
      <c r="H112" s="21" t="str">
        <v>05</v>
      </c>
      <c r="I112" s="21" t="str">
        <v>07 10 00.1005</v>
      </c>
      <c r="J112" s="21" t="str">
        <v>الفوم</v>
      </c>
      <c r="K112" s="21" t="str">
        <v>Foam</v>
      </c>
      <c r="L112" s="21">
        <v>0</v>
      </c>
    </row>
    <row r="113" spans="1:42" ht="30" x14ac:dyDescent="0.25">
      <c r="A113" s="30" t="str">
        <v>07</v>
      </c>
      <c r="B113" s="21" t="str">
        <v>Thermal and Moisture Protection</v>
      </c>
      <c r="C113" s="21" t="str">
        <v>20</v>
      </c>
      <c r="D113" s="21" t="str">
        <v>Thermal Protection</v>
      </c>
      <c r="E113" s="21" t="str">
        <v>00.10</v>
      </c>
      <c r="F113" s="34" t="str">
        <v>مواد العزل</v>
      </c>
      <c r="G113" s="21" t="str">
        <v>Insulation Materials</v>
      </c>
      <c r="H113" s="21" t="str">
        <v>08</v>
      </c>
      <c r="I113" s="21" t="str">
        <v>07 20 00.1008</v>
      </c>
      <c r="J113" s="21" t="str">
        <v>عزل بيتومين 100 كج</v>
      </c>
      <c r="K113" s="21" t="str">
        <v>DADCO PROOF COLD INSULATION PACKING : 100 KG</v>
      </c>
      <c r="L113" s="21">
        <v>0</v>
      </c>
    </row>
    <row r="114" spans="1:42" ht="30" x14ac:dyDescent="0.25">
      <c r="A114" s="30" t="str">
        <v>07</v>
      </c>
      <c r="B114" s="21" t="str">
        <v>Thermal and Moisture Protection</v>
      </c>
      <c r="C114" s="21" t="str">
        <v>20</v>
      </c>
      <c r="D114" s="21" t="str">
        <v>Thermal Protection</v>
      </c>
      <c r="E114" s="21" t="str">
        <v>00.10</v>
      </c>
      <c r="F114" s="34" t="str">
        <v>مواد العزل</v>
      </c>
      <c r="G114" s="21" t="str">
        <v>Insulation Materials</v>
      </c>
      <c r="H114" s="21" t="str">
        <v>09</v>
      </c>
      <c r="I114" s="21" t="str">
        <v>07 20 00.1009</v>
      </c>
      <c r="J114" s="21" t="str">
        <v>عزل أسمنتى</v>
      </c>
      <c r="K114" s="21" t="str">
        <v>SETSEAL CM</v>
      </c>
      <c r="L114" s="21">
        <v>0</v>
      </c>
    </row>
    <row r="115" spans="1:42" ht="30" x14ac:dyDescent="0.25">
      <c r="A115" s="30" t="str">
        <v>07</v>
      </c>
      <c r="B115" s="21" t="str">
        <v>Thermal and Moisture Protection</v>
      </c>
      <c r="C115" s="21" t="str">
        <v>20</v>
      </c>
      <c r="D115" s="21" t="str">
        <v>Thermal Protection</v>
      </c>
      <c r="E115" s="21" t="str">
        <v>00.10</v>
      </c>
      <c r="F115" s="34" t="str">
        <v>مواد العزل</v>
      </c>
      <c r="G115" s="21" t="str">
        <v>Insulation Materials</v>
      </c>
      <c r="H115" s="21" t="str">
        <v>10</v>
      </c>
      <c r="I115" s="21" t="str">
        <v>07 20 00.1010</v>
      </c>
      <c r="J115" s="21" t="str">
        <v>عزل بيتومين / 200 لتر</v>
      </c>
      <c r="K115" s="21" t="str">
        <v>Nitro Proof-10 (200 L)</v>
      </c>
      <c r="L115" s="21">
        <v>0</v>
      </c>
    </row>
    <row r="116" spans="1:42" s="5" customFormat="1" x14ac:dyDescent="0.25">
      <c r="A116" s="59" t="str">
        <v>09</v>
      </c>
      <c r="B116" s="24" t="str">
        <v>Finishes</v>
      </c>
      <c r="C116" s="24" t="str">
        <v>20</v>
      </c>
      <c r="D116" s="24" t="str">
        <v>Plaster and Gypsum Board</v>
      </c>
      <c r="E116" s="24" t="str">
        <v>00.10</v>
      </c>
      <c r="F116" s="37" t="str">
        <v>جبسومبورد</v>
      </c>
      <c r="G116" s="24" t="str">
        <v>Gypsum Board</v>
      </c>
      <c r="H116" s="24" t="str">
        <v>01</v>
      </c>
      <c r="I116" s="24" t="str">
        <v>09 20 00.1001</v>
      </c>
      <c r="J116" s="24" t="str">
        <v>زاوية 6 مم حبه</v>
      </c>
      <c r="K116" s="24" t="str">
        <v>Angle 60 mm</v>
      </c>
      <c r="L116" s="24">
        <v>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</row>
    <row r="117" spans="1:42" s="5" customFormat="1" x14ac:dyDescent="0.25">
      <c r="A117" s="59" t="str">
        <v>09</v>
      </c>
      <c r="B117" s="24" t="str">
        <v>Finishes</v>
      </c>
      <c r="C117" s="24" t="str">
        <v>20</v>
      </c>
      <c r="D117" s="24" t="str">
        <v>Plaster and Gypsum Board</v>
      </c>
      <c r="E117" s="24" t="str">
        <v>00.10</v>
      </c>
      <c r="F117" s="37" t="str">
        <v>جبسومبورد</v>
      </c>
      <c r="G117" s="24" t="str">
        <v>Gypsum Board</v>
      </c>
      <c r="H117" s="24" t="str">
        <v>02</v>
      </c>
      <c r="I117" s="24" t="str">
        <v>09 20 00.1002</v>
      </c>
      <c r="J117" s="24" t="str">
        <v>اوميجا 6 مم حبه</v>
      </c>
      <c r="K117" s="24" t="str">
        <v>Omega 60 mm</v>
      </c>
      <c r="L117" s="24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</row>
    <row r="118" spans="1:42" s="5" customFormat="1" x14ac:dyDescent="0.25">
      <c r="A118" s="59" t="str">
        <v>09</v>
      </c>
      <c r="B118" s="24" t="str">
        <v>Finishes</v>
      </c>
      <c r="C118" s="24" t="str">
        <v>20</v>
      </c>
      <c r="D118" s="24" t="str">
        <v>Plaster and Gypsum Board</v>
      </c>
      <c r="E118" s="24" t="str">
        <v>00.10</v>
      </c>
      <c r="F118" s="37" t="str">
        <v>جبسومبورد</v>
      </c>
      <c r="G118" s="24" t="str">
        <v>Gypsum Board</v>
      </c>
      <c r="H118" s="24" t="str">
        <v>03</v>
      </c>
      <c r="I118" s="24" t="str">
        <v>09 20 00.1003</v>
      </c>
      <c r="J118" s="24" t="str">
        <v>جسر 6 مم حبه</v>
      </c>
      <c r="K118" s="24" t="str">
        <v>Bridge 60 mm</v>
      </c>
      <c r="L118" s="24">
        <v>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</row>
    <row r="119" spans="1:42" s="5" customFormat="1" x14ac:dyDescent="0.25">
      <c r="A119" s="59" t="str">
        <v>09</v>
      </c>
      <c r="B119" s="24" t="str">
        <v>Finishes</v>
      </c>
      <c r="C119" s="24" t="str">
        <v>20</v>
      </c>
      <c r="D119" s="24" t="str">
        <v>Plaster and Gypsum Board</v>
      </c>
      <c r="E119" s="24" t="str">
        <v>00.10</v>
      </c>
      <c r="F119" s="37" t="str">
        <v>جبسومبورد</v>
      </c>
      <c r="G119" s="24" t="str">
        <v>Gypsum Board</v>
      </c>
      <c r="H119" s="24" t="str">
        <v>04</v>
      </c>
      <c r="I119" s="24" t="str">
        <v>09 20 00.1004</v>
      </c>
      <c r="J119" s="24" t="str">
        <v>سيخ تربيط م 8 حبه</v>
      </c>
      <c r="K119" s="24" t="str">
        <v>Binding Rod 8 mm</v>
      </c>
      <c r="L119" s="24">
        <v>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</row>
    <row r="120" spans="1:42" s="5" customFormat="1" x14ac:dyDescent="0.25">
      <c r="A120" s="59" t="str">
        <v>09</v>
      </c>
      <c r="B120" s="24" t="str">
        <v>Finishes</v>
      </c>
      <c r="C120" s="24" t="str">
        <v>20</v>
      </c>
      <c r="D120" s="24" t="str">
        <v>Plaster and Gypsum Board</v>
      </c>
      <c r="E120" s="24" t="str">
        <v>00.10</v>
      </c>
      <c r="F120" s="37" t="str">
        <v>جبسومبورد</v>
      </c>
      <c r="G120" s="24" t="str">
        <v>Gypsum Board</v>
      </c>
      <c r="H120" s="24" t="str">
        <v>05</v>
      </c>
      <c r="I120" s="24" t="str">
        <v>09 20 00.1005</v>
      </c>
      <c r="J120" s="24" t="str">
        <v>يو كلبس 38مم كرتون 500 حبه</v>
      </c>
      <c r="K120" s="24" t="str">
        <v>Clip 38 mm</v>
      </c>
      <c r="L120" s="24"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</row>
    <row r="121" spans="1:42" s="5" customFormat="1" x14ac:dyDescent="0.25">
      <c r="A121" s="59" t="str">
        <v>09</v>
      </c>
      <c r="B121" s="24" t="str">
        <v>Finishes</v>
      </c>
      <c r="C121" s="24" t="str">
        <v>20</v>
      </c>
      <c r="D121" s="24" t="str">
        <v>Plaster and Gypsum Board</v>
      </c>
      <c r="E121" s="24" t="str">
        <v>00.10</v>
      </c>
      <c r="F121" s="37" t="str">
        <v>جبسومبورد</v>
      </c>
      <c r="G121" s="24" t="str">
        <v>Gypsum Board</v>
      </c>
      <c r="H121" s="24" t="str">
        <v>06</v>
      </c>
      <c r="I121" s="24" t="str">
        <v>09 20 00.1006</v>
      </c>
      <c r="J121" s="24" t="str">
        <v>وير كلبس 38مم كرتون 500 حبه</v>
      </c>
      <c r="K121" s="24" t="str">
        <v>Dire Clip 38 mm</v>
      </c>
      <c r="L121" s="24">
        <v>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</row>
    <row r="122" spans="1:42" s="5" customFormat="1" x14ac:dyDescent="0.25">
      <c r="A122" s="59" t="str">
        <v>09</v>
      </c>
      <c r="B122" s="24" t="str">
        <v>Finishes</v>
      </c>
      <c r="C122" s="24" t="str">
        <v>20</v>
      </c>
      <c r="D122" s="24" t="str">
        <v>Plaster and Gypsum Board</v>
      </c>
      <c r="E122" s="24" t="str">
        <v>00.10</v>
      </c>
      <c r="F122" s="37" t="str">
        <v>جبسومبورد</v>
      </c>
      <c r="G122" s="24" t="str">
        <v>Gypsum Board</v>
      </c>
      <c r="H122" s="24" t="str">
        <v>07</v>
      </c>
      <c r="I122" s="24" t="str">
        <v>09 20 00.1007</v>
      </c>
      <c r="J122" s="24" t="str">
        <v>مسمار حديد ابيض 13مم بوكس 1000 حبه</v>
      </c>
      <c r="K122" s="24" t="str">
        <v>White Iron Nail 13 mm</v>
      </c>
      <c r="L122" s="24">
        <v>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</row>
    <row r="123" spans="1:42" s="5" customFormat="1" x14ac:dyDescent="0.25">
      <c r="A123" s="59" t="str">
        <v>09</v>
      </c>
      <c r="B123" s="24" t="str">
        <v>Finishes</v>
      </c>
      <c r="C123" s="24" t="str">
        <v>20</v>
      </c>
      <c r="D123" s="24" t="str">
        <v>Plaster and Gypsum Board</v>
      </c>
      <c r="E123" s="24" t="str">
        <v>00.10</v>
      </c>
      <c r="F123" s="37" t="str">
        <v>جبسومبورد</v>
      </c>
      <c r="G123" s="24" t="str">
        <v>Gypsum Board</v>
      </c>
      <c r="H123" s="24" t="str">
        <v>08</v>
      </c>
      <c r="I123" s="24" t="str">
        <v>09 20 00.1008</v>
      </c>
      <c r="J123" s="24" t="str">
        <v>مسمار جبس اسود 25مم بوكس 1000 حبه</v>
      </c>
      <c r="K123" s="24" t="str">
        <v>Gypsum Nail 25 mm</v>
      </c>
      <c r="L123" s="24">
        <v>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</row>
    <row r="124" spans="1:42" s="5" customFormat="1" x14ac:dyDescent="0.25">
      <c r="A124" s="59" t="str">
        <v>09</v>
      </c>
      <c r="B124" s="24" t="str">
        <v>Finishes</v>
      </c>
      <c r="C124" s="24" t="str">
        <v>20</v>
      </c>
      <c r="D124" s="24" t="str">
        <v>Plaster and Gypsum Board</v>
      </c>
      <c r="E124" s="24" t="str">
        <v>00.10</v>
      </c>
      <c r="F124" s="37" t="str">
        <v>جبسومبورد</v>
      </c>
      <c r="G124" s="24" t="str">
        <v>Gypsum Board</v>
      </c>
      <c r="H124" s="24" t="str">
        <v>09</v>
      </c>
      <c r="I124" s="24" t="str">
        <v>09 20 00.1009</v>
      </c>
      <c r="J124" s="24" t="str">
        <v>مسمار بلاستيك مع خابور كرتون 100 حبه</v>
      </c>
      <c r="K124" s="24" t="str">
        <v>Plastic Nail with Fischer</v>
      </c>
      <c r="L124" s="24">
        <v>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</row>
    <row r="125" spans="1:42" s="5" customFormat="1" x14ac:dyDescent="0.25">
      <c r="A125" s="59" t="str">
        <v>09</v>
      </c>
      <c r="B125" s="24" t="str">
        <v>Finishes</v>
      </c>
      <c r="C125" s="24" t="str">
        <v>20</v>
      </c>
      <c r="D125" s="24" t="str">
        <v>Plaster and Gypsum Board</v>
      </c>
      <c r="E125" s="24" t="str">
        <v>00.10</v>
      </c>
      <c r="F125" s="37" t="str">
        <v>جبسومبورد</v>
      </c>
      <c r="G125" s="24" t="str">
        <v>Gypsum Board</v>
      </c>
      <c r="H125" s="24" t="str">
        <v>10</v>
      </c>
      <c r="I125" s="24" t="str">
        <v>09 20 00.1010</v>
      </c>
      <c r="J125" s="24" t="str">
        <v>صاموله 8مم كيلو</v>
      </c>
      <c r="K125" s="24" t="str">
        <v>Nut 8 mm</v>
      </c>
      <c r="L125" s="24">
        <v>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</row>
    <row r="126" spans="1:42" s="5" customFormat="1" x14ac:dyDescent="0.25">
      <c r="A126" s="59" t="str">
        <v>09</v>
      </c>
      <c r="B126" s="24" t="str">
        <v>Finishes</v>
      </c>
      <c r="C126" s="24" t="str">
        <v>20</v>
      </c>
      <c r="D126" s="24" t="str">
        <v>Plaster and Gypsum Board</v>
      </c>
      <c r="E126" s="24" t="str">
        <v>00.10</v>
      </c>
      <c r="F126" s="37" t="str">
        <v>جبسومبورد</v>
      </c>
      <c r="G126" s="24" t="str">
        <v>Gypsum Board</v>
      </c>
      <c r="H126" s="24" t="str">
        <v>11</v>
      </c>
      <c r="I126" s="24" t="str">
        <v>09 20 00.1011</v>
      </c>
      <c r="J126" s="24" t="str">
        <v>خابور نحاس 6مم كرتون 100 حبه</v>
      </c>
      <c r="K126" s="24" t="str">
        <v>Copper Pin 6 mm</v>
      </c>
      <c r="L126" s="24">
        <v>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</row>
    <row r="127" spans="1:42" x14ac:dyDescent="0.25">
      <c r="A127" s="30" t="str">
        <v>09</v>
      </c>
      <c r="B127" s="21" t="str">
        <v>Finishes</v>
      </c>
      <c r="C127" s="21" t="str">
        <v>20</v>
      </c>
      <c r="D127" s="21" t="str">
        <v>Plaster and Gypsum Board</v>
      </c>
      <c r="E127" s="21" t="str">
        <v>00.10</v>
      </c>
      <c r="F127" s="34" t="str">
        <v>جبسومبورد</v>
      </c>
      <c r="G127" s="21">
        <v>0</v>
      </c>
      <c r="H127" s="21" t="str">
        <v>12</v>
      </c>
      <c r="I127" s="21" t="str">
        <v>09 20 00.1012</v>
      </c>
      <c r="J127" s="21" t="str">
        <v>جبس عادي</v>
      </c>
      <c r="K127" s="21">
        <v>0</v>
      </c>
      <c r="L127" s="21">
        <v>0</v>
      </c>
    </row>
    <row r="128" spans="1:42" x14ac:dyDescent="0.25">
      <c r="A128" s="30" t="str">
        <v>09</v>
      </c>
      <c r="B128" s="21" t="str">
        <v>Finishes</v>
      </c>
      <c r="C128" s="21" t="str">
        <v>20</v>
      </c>
      <c r="D128" s="21" t="str">
        <v>Plaster and Gypsum Board</v>
      </c>
      <c r="E128" s="21" t="str">
        <v>00.10</v>
      </c>
      <c r="F128" s="34" t="str">
        <v>جبسومبورد</v>
      </c>
      <c r="G128" s="21">
        <v>0</v>
      </c>
      <c r="H128" s="21" t="str">
        <v>13</v>
      </c>
      <c r="I128" s="21" t="str">
        <v>09 20 00.1013</v>
      </c>
      <c r="J128" s="21" t="str">
        <v>جبس مقاوم للرطوبه</v>
      </c>
      <c r="K128" s="21">
        <v>0</v>
      </c>
      <c r="L128" s="21">
        <v>0</v>
      </c>
    </row>
    <row r="129" spans="1:12" x14ac:dyDescent="0.25">
      <c r="A129" s="30" t="str">
        <v>09</v>
      </c>
      <c r="B129" s="21" t="str">
        <v>Finishes</v>
      </c>
      <c r="C129" s="21" t="str">
        <v>20</v>
      </c>
      <c r="D129" s="21" t="str">
        <v>Plaster and Gypsum Board</v>
      </c>
      <c r="E129" s="21" t="str">
        <v>00.10</v>
      </c>
      <c r="F129" s="34" t="str">
        <v>جبسومبورد</v>
      </c>
      <c r="G129" s="21">
        <v>0</v>
      </c>
      <c r="H129" s="21" t="str">
        <v>14</v>
      </c>
      <c r="I129" s="21" t="str">
        <v>09 20 00.1014</v>
      </c>
      <c r="J129" s="21" t="str">
        <v>اكسيس بانل 30*30</v>
      </c>
      <c r="K129" s="21">
        <v>0</v>
      </c>
      <c r="L129" s="21">
        <v>0</v>
      </c>
    </row>
    <row r="130" spans="1:12" x14ac:dyDescent="0.25">
      <c r="A130" s="30" t="str">
        <v>09</v>
      </c>
      <c r="B130" s="21" t="str">
        <v>Finishes</v>
      </c>
      <c r="C130" s="21" t="str">
        <v>20</v>
      </c>
      <c r="D130" s="21" t="str">
        <v>Plaster and Gypsum Board</v>
      </c>
      <c r="E130" s="21" t="str">
        <v>00.10</v>
      </c>
      <c r="F130" s="34" t="str">
        <v>جبسومبورد</v>
      </c>
      <c r="G130" s="21">
        <v>0</v>
      </c>
      <c r="H130" s="21" t="str">
        <v>15</v>
      </c>
      <c r="I130" s="21" t="str">
        <v>09 20 00.1015</v>
      </c>
      <c r="J130" s="21" t="str">
        <v>اكسيس بانل 60*120</v>
      </c>
      <c r="K130" s="21">
        <v>0</v>
      </c>
      <c r="L130" s="21">
        <v>0</v>
      </c>
    </row>
    <row r="131" spans="1:12" x14ac:dyDescent="0.25">
      <c r="A131" s="30" t="str">
        <v>09</v>
      </c>
      <c r="B131" s="21" t="str">
        <v>Finishes</v>
      </c>
      <c r="C131" s="21" t="str">
        <v>20</v>
      </c>
      <c r="D131" s="21" t="str">
        <v>Plaster and Gypsum Board</v>
      </c>
      <c r="E131" s="21" t="str">
        <v>00.10</v>
      </c>
      <c r="F131" s="34" t="str">
        <v>جبسومبورد</v>
      </c>
      <c r="G131" s="21">
        <v>0</v>
      </c>
      <c r="H131" s="21" t="str">
        <v>16</v>
      </c>
      <c r="I131" s="21" t="str">
        <v>09 20 00.1016</v>
      </c>
      <c r="J131" s="21" t="str">
        <v>فيشر كرتون 100 حبه</v>
      </c>
      <c r="K131" s="21">
        <v>0</v>
      </c>
      <c r="L131" s="21">
        <v>0</v>
      </c>
    </row>
    <row r="132" spans="1:12" x14ac:dyDescent="0.25">
      <c r="A132" s="30" t="str">
        <v>09</v>
      </c>
      <c r="B132" s="21" t="str">
        <v>Finishes</v>
      </c>
      <c r="C132" s="21" t="str">
        <v>24</v>
      </c>
      <c r="D132" s="21" t="str">
        <v>Plastering</v>
      </c>
      <c r="E132" s="21" t="str">
        <v>00.10</v>
      </c>
      <c r="F132" s="34" t="str">
        <v>اكسسوارات اللياسه</v>
      </c>
      <c r="G132" s="21" t="str">
        <v>Plastering Accessories</v>
      </c>
      <c r="H132" s="21" t="str">
        <v>01</v>
      </c>
      <c r="I132" s="21" t="str">
        <v>09 24 00.1001</v>
      </c>
      <c r="J132" s="21" t="str">
        <v>زاويه لياسه داخلى 7 سم</v>
      </c>
      <c r="K132" s="21" t="str">
        <v>Plaster Corner 7 cm</v>
      </c>
      <c r="L132" s="21">
        <v>0</v>
      </c>
    </row>
    <row r="133" spans="1:12" x14ac:dyDescent="0.25">
      <c r="A133" s="30" t="str">
        <v>09</v>
      </c>
      <c r="B133" s="21" t="str">
        <v>Finishes</v>
      </c>
      <c r="C133" s="21" t="str">
        <v>24</v>
      </c>
      <c r="D133" s="21" t="str">
        <v>Plastering</v>
      </c>
      <c r="E133" s="21" t="str">
        <v>00.10</v>
      </c>
      <c r="F133" s="34" t="str">
        <v>اكسسوارات اللياسه</v>
      </c>
      <c r="G133" s="21" t="str">
        <v>Plastering Accessories</v>
      </c>
      <c r="H133" s="21" t="str">
        <v>02</v>
      </c>
      <c r="I133" s="21" t="str">
        <v>09 24 00.1002</v>
      </c>
      <c r="J133" s="21" t="str">
        <v>شبك لياسه معدن ( رول )</v>
      </c>
      <c r="K133" s="21" t="str">
        <v>Plaster Mesh (Roll)</v>
      </c>
      <c r="L133" s="21">
        <v>0</v>
      </c>
    </row>
    <row r="134" spans="1:12" x14ac:dyDescent="0.25">
      <c r="A134" s="30" t="str">
        <v>09</v>
      </c>
      <c r="B134" s="21" t="str">
        <v>Finishes</v>
      </c>
      <c r="C134" s="21" t="str">
        <v>24</v>
      </c>
      <c r="D134" s="21" t="str">
        <v>Plastering</v>
      </c>
      <c r="E134" s="21" t="str">
        <v>00.10</v>
      </c>
      <c r="F134" s="34" t="str">
        <v>اكسسوارات اللياسه</v>
      </c>
      <c r="G134" s="21" t="str">
        <v>Plastering Accessories</v>
      </c>
      <c r="H134" s="21" t="str">
        <v>03</v>
      </c>
      <c r="I134" s="21" t="str">
        <v>09 24 00.1003</v>
      </c>
      <c r="J134" s="21" t="str">
        <v>شبك فايبر ( رول )</v>
      </c>
      <c r="K134" s="21" t="str">
        <v>Fiber Mesh (Roll)</v>
      </c>
      <c r="L134" s="21">
        <v>0</v>
      </c>
    </row>
    <row r="135" spans="1:12" x14ac:dyDescent="0.25">
      <c r="A135" s="30" t="str">
        <v>09</v>
      </c>
      <c r="B135" s="21" t="str">
        <v>Finishes</v>
      </c>
      <c r="C135" s="21" t="str">
        <v>24</v>
      </c>
      <c r="D135" s="21" t="str">
        <v>Plastering</v>
      </c>
      <c r="E135" s="21" t="str">
        <v>00.10</v>
      </c>
      <c r="F135" s="34" t="str">
        <v>اكسسوارات اللياسه</v>
      </c>
      <c r="G135" s="21" t="str">
        <v>Plastering Accessories</v>
      </c>
      <c r="H135" s="21" t="str">
        <v>04</v>
      </c>
      <c r="I135" s="21" t="str">
        <v>09 24 00.1004</v>
      </c>
      <c r="J135" s="21" t="str">
        <v>زاويه لياسه خارجيه ( قرسبيكو )</v>
      </c>
      <c r="K135" s="21" t="str">
        <v>External Plaster Corner (Cresbico)</v>
      </c>
      <c r="L135" s="21">
        <v>0</v>
      </c>
    </row>
    <row r="136" spans="1:12" x14ac:dyDescent="0.25">
      <c r="A136" s="30" t="str">
        <v>09</v>
      </c>
      <c r="B136" s="21" t="str">
        <v>Finishes</v>
      </c>
      <c r="C136" s="21" t="str">
        <v>24</v>
      </c>
      <c r="D136" s="21" t="str">
        <v>Plastering</v>
      </c>
      <c r="E136" s="21" t="str">
        <v>00.10</v>
      </c>
      <c r="F136" s="34" t="str">
        <v>اكسسوارات اللياسه</v>
      </c>
      <c r="G136" s="21" t="str">
        <v>Plastering Accessories</v>
      </c>
      <c r="H136" s="21" t="str">
        <v>05</v>
      </c>
      <c r="I136" s="21" t="str">
        <v>09 24 00.1005</v>
      </c>
      <c r="J136" s="21" t="str">
        <v>علبه مسمار 25 ملم</v>
      </c>
      <c r="K136" s="21" t="str">
        <v>Nail Box 25 mm</v>
      </c>
      <c r="L136" s="21">
        <v>0</v>
      </c>
    </row>
    <row r="137" spans="1:12" x14ac:dyDescent="0.25">
      <c r="A137" s="30" t="str">
        <v>09</v>
      </c>
      <c r="B137" s="21" t="str">
        <v>Finishes</v>
      </c>
      <c r="C137" s="21" t="str">
        <v>24</v>
      </c>
      <c r="D137" s="21" t="str">
        <v>Plastering</v>
      </c>
      <c r="E137" s="21" t="str">
        <v>00.10</v>
      </c>
      <c r="F137" s="34" t="str">
        <v>اكسسوارات اللياسه</v>
      </c>
      <c r="G137" s="21" t="str">
        <v>Plastering Accessories</v>
      </c>
      <c r="H137" s="21" t="str">
        <v>06</v>
      </c>
      <c r="I137" s="21" t="str">
        <v>09 24 00.1006</v>
      </c>
      <c r="J137" s="21" t="str">
        <v>كيس ورد لياسه / 3 كج</v>
      </c>
      <c r="K137" s="21" t="str">
        <v>Plaster Rose Bag</v>
      </c>
      <c r="L137" s="21">
        <v>0</v>
      </c>
    </row>
    <row r="138" spans="1:12" x14ac:dyDescent="0.25">
      <c r="A138" s="30" t="str">
        <v>09</v>
      </c>
      <c r="B138" s="21" t="str">
        <v>Finishes</v>
      </c>
      <c r="C138" s="21" t="str">
        <v>24</v>
      </c>
      <c r="D138" s="21" t="str">
        <v>Plastering</v>
      </c>
      <c r="E138" s="21" t="str">
        <v>00.10</v>
      </c>
      <c r="F138" s="34" t="str">
        <v>اكسسوارات اللياسه</v>
      </c>
      <c r="G138" s="21" t="str">
        <v>Plastering Accessories</v>
      </c>
      <c r="H138" s="21" t="str">
        <v>07</v>
      </c>
      <c r="I138" s="21" t="str">
        <v>09 24 00.1007</v>
      </c>
      <c r="J138" s="21" t="str">
        <v>جروف سماكه 19 ملم</v>
      </c>
      <c r="K138" s="21" t="str">
        <v>Grooves 19 mm thickness</v>
      </c>
      <c r="L138" s="21">
        <v>0</v>
      </c>
    </row>
    <row r="139" spans="1:12" x14ac:dyDescent="0.25">
      <c r="A139" s="30" t="str">
        <v>09</v>
      </c>
      <c r="B139" s="21" t="str">
        <v>Finishes</v>
      </c>
      <c r="C139" s="21" t="str">
        <v>24</v>
      </c>
      <c r="D139" s="21" t="str">
        <v>Plastering</v>
      </c>
      <c r="E139" s="21" t="str">
        <v>00.10</v>
      </c>
      <c r="F139" s="34" t="str">
        <v>اكسسوارات اللياسه</v>
      </c>
      <c r="G139" s="21" t="str">
        <v>Plastering Accessories</v>
      </c>
      <c r="H139" s="21" t="str">
        <v>08</v>
      </c>
      <c r="I139" s="21" t="str">
        <v>09 24 00.1008</v>
      </c>
      <c r="J139" s="21" t="str">
        <v>كيمكال</v>
      </c>
      <c r="K139" s="21" t="str">
        <v>Chemical</v>
      </c>
      <c r="L139" s="21">
        <v>0</v>
      </c>
    </row>
    <row r="140" spans="1:12" x14ac:dyDescent="0.25">
      <c r="A140" s="30" t="str">
        <v>09</v>
      </c>
      <c r="B140" s="21" t="str">
        <v>Finishes</v>
      </c>
      <c r="C140" s="21" t="str">
        <v>24</v>
      </c>
      <c r="D140" s="21" t="str">
        <v>Plastering</v>
      </c>
      <c r="E140" s="21" t="str">
        <v>00.10</v>
      </c>
      <c r="F140" s="34" t="str">
        <v>اكسسوارات اللياسه</v>
      </c>
      <c r="G140" s="21" t="str">
        <v>Plastering Accessories</v>
      </c>
      <c r="H140" s="21" t="str">
        <v>09</v>
      </c>
      <c r="I140" s="21" t="str">
        <v>09 24 00.1009</v>
      </c>
      <c r="J140" s="21" t="str">
        <v>خيط</v>
      </c>
      <c r="K140" s="21" t="str">
        <v>Thread</v>
      </c>
      <c r="L140" s="21">
        <v>0</v>
      </c>
    </row>
    <row r="141" spans="1:12" x14ac:dyDescent="0.25">
      <c r="A141" s="30" t="str">
        <v>09</v>
      </c>
      <c r="B141" s="21" t="str">
        <v>Finishes</v>
      </c>
      <c r="C141" s="21" t="str">
        <v>30</v>
      </c>
      <c r="D141" s="21" t="str">
        <v>Tiling</v>
      </c>
      <c r="E141" s="21" t="str">
        <v>00.10</v>
      </c>
      <c r="F141" s="38" t="str">
        <v>السيراميك</v>
      </c>
      <c r="G141" s="27" t="str">
        <v>Ceramics</v>
      </c>
      <c r="H141" s="21" t="str">
        <v>01</v>
      </c>
      <c r="I141" s="21" t="str">
        <v>09 30 00.1001</v>
      </c>
      <c r="J141" s="21" t="str">
        <v>صليبه 2 مللى</v>
      </c>
      <c r="K141" s="21" t="str">
        <v>Cross 2 mm</v>
      </c>
      <c r="L141" s="21" t="str">
        <v>EACH</v>
      </c>
    </row>
    <row r="142" spans="1:12" x14ac:dyDescent="0.25">
      <c r="A142" s="30" t="str">
        <v>09</v>
      </c>
      <c r="B142" s="21" t="str">
        <v>Finishes</v>
      </c>
      <c r="C142" s="21" t="str">
        <v>30</v>
      </c>
      <c r="D142" s="21" t="str">
        <v>Tiling</v>
      </c>
      <c r="E142" s="21" t="str">
        <v>00.10</v>
      </c>
      <c r="F142" s="38" t="str">
        <v>السيراميك</v>
      </c>
      <c r="G142" s="27" t="str">
        <v>Ceramics</v>
      </c>
      <c r="H142" s="21" t="str">
        <v>03</v>
      </c>
      <c r="I142" s="21" t="str">
        <v>09 30 00.1003</v>
      </c>
      <c r="J142" s="21" t="str">
        <v>غراء بلاط</v>
      </c>
      <c r="K142" s="21" t="str">
        <v>Tile Adhesive</v>
      </c>
      <c r="L142" s="21">
        <v>0</v>
      </c>
    </row>
    <row r="143" spans="1:12" x14ac:dyDescent="0.25">
      <c r="A143" s="30" t="str">
        <v>09</v>
      </c>
      <c r="B143" s="21" t="str">
        <v>Finishes</v>
      </c>
      <c r="C143" s="21" t="str">
        <v>30</v>
      </c>
      <c r="D143" s="21" t="str">
        <v>Tiling</v>
      </c>
      <c r="E143" s="21" t="str">
        <v>00.10</v>
      </c>
      <c r="F143" s="38" t="str">
        <v>السيراميك</v>
      </c>
      <c r="G143" s="27">
        <v>0</v>
      </c>
      <c r="H143" s="21" t="str">
        <v>04</v>
      </c>
      <c r="I143" s="21" t="str">
        <v>09 30 00.1004</v>
      </c>
      <c r="J143" s="21" t="str">
        <v>سيراميك 30*30 ارضيات</v>
      </c>
      <c r="K143" s="21" t="str">
        <v>Ceramic Floor Tiles 30x30 cm</v>
      </c>
      <c r="L143" s="21">
        <v>0</v>
      </c>
    </row>
    <row r="144" spans="1:12" x14ac:dyDescent="0.25">
      <c r="A144" s="30" t="str">
        <v>09</v>
      </c>
      <c r="B144" s="21" t="str">
        <v>Finishes</v>
      </c>
      <c r="C144" s="21" t="str">
        <v>30</v>
      </c>
      <c r="D144" s="21" t="str">
        <v>Tiling</v>
      </c>
      <c r="E144" s="21" t="str">
        <v>00.10</v>
      </c>
      <c r="F144" s="38" t="str">
        <v>السيراميك</v>
      </c>
      <c r="G144" s="27">
        <v>0</v>
      </c>
      <c r="H144" s="21" t="str">
        <v>05</v>
      </c>
      <c r="I144" s="21" t="str">
        <v>09 30 00.1005</v>
      </c>
      <c r="J144" s="21" t="str">
        <v>سيراميك 60*30 حوائط عادى</v>
      </c>
      <c r="K144" s="21" t="str">
        <v>Regular Ceramic Wall Tiles 60x30 cm</v>
      </c>
      <c r="L144" s="21">
        <v>0</v>
      </c>
    </row>
    <row r="145" spans="1:42" ht="30" x14ac:dyDescent="0.25">
      <c r="A145" s="30" t="str">
        <v>09</v>
      </c>
      <c r="B145" s="21" t="str">
        <v>Finishes</v>
      </c>
      <c r="C145" s="21" t="str">
        <v>30</v>
      </c>
      <c r="D145" s="21" t="str">
        <v>Tiling</v>
      </c>
      <c r="E145" s="21" t="str">
        <v>00.10</v>
      </c>
      <c r="F145" s="38" t="str">
        <v>السيراميك</v>
      </c>
      <c r="G145" s="27">
        <v>0</v>
      </c>
      <c r="H145" s="21" t="str">
        <v>06</v>
      </c>
      <c r="I145" s="21" t="str">
        <v>09 30 00.1006</v>
      </c>
      <c r="J145" s="21" t="str">
        <v>سيراميك 60*30 حوائط مزخرف</v>
      </c>
      <c r="K145" s="21" t="str">
        <v>Decorative Ceramic Wall Tiles 60x30 cm</v>
      </c>
      <c r="L145" s="21">
        <v>0</v>
      </c>
    </row>
    <row r="146" spans="1:42" x14ac:dyDescent="0.25">
      <c r="A146" s="30" t="str">
        <v>09</v>
      </c>
      <c r="B146" s="21" t="str">
        <v>Finishes</v>
      </c>
      <c r="C146" s="21" t="str">
        <v>30</v>
      </c>
      <c r="D146" s="21" t="str">
        <v>Tiling</v>
      </c>
      <c r="E146" s="21" t="str">
        <v>00.10</v>
      </c>
      <c r="F146" s="38" t="str">
        <v>السيراميك</v>
      </c>
      <c r="G146" s="27">
        <v>0</v>
      </c>
      <c r="H146" s="21" t="str">
        <v>07</v>
      </c>
      <c r="I146" s="21" t="str">
        <v>09 30 00.1007</v>
      </c>
      <c r="J146" s="21" t="str">
        <v>سيراميك 60*60 عادى</v>
      </c>
      <c r="K146" s="21" t="str">
        <v>Regular Ceramic Tiles 60x60 cm</v>
      </c>
      <c r="L146" s="21">
        <v>0</v>
      </c>
    </row>
    <row r="147" spans="1:42" x14ac:dyDescent="0.25">
      <c r="A147" s="30" t="str">
        <v>09</v>
      </c>
      <c r="B147" s="21" t="str">
        <v>Finishes</v>
      </c>
      <c r="C147" s="21" t="str">
        <v>30</v>
      </c>
      <c r="D147" s="21" t="str">
        <v>Tiling</v>
      </c>
      <c r="E147" s="21" t="str">
        <v>00.10</v>
      </c>
      <c r="F147" s="38" t="str">
        <v>السيراميك</v>
      </c>
      <c r="G147" s="27">
        <v>0</v>
      </c>
      <c r="H147" s="21" t="str">
        <v>08</v>
      </c>
      <c r="I147" s="21" t="str">
        <v>09 30 00.1008</v>
      </c>
      <c r="J147" s="21" t="str">
        <v>سيراميك 60*60 غامق</v>
      </c>
      <c r="K147" s="21" t="str">
        <v>Dark Ceramic Tiles 60x60 cm</v>
      </c>
      <c r="L147" s="21">
        <v>0</v>
      </c>
    </row>
    <row r="148" spans="1:42" ht="30" x14ac:dyDescent="0.25">
      <c r="A148" s="30" t="str">
        <v>09</v>
      </c>
      <c r="B148" s="21" t="str">
        <v>Finishes</v>
      </c>
      <c r="C148" s="21" t="str">
        <v>30</v>
      </c>
      <c r="D148" s="21" t="str">
        <v>Tiling</v>
      </c>
      <c r="E148" s="21" t="str">
        <v>00.10</v>
      </c>
      <c r="F148" s="38" t="str">
        <v>السيراميك</v>
      </c>
      <c r="G148" s="27">
        <v>0</v>
      </c>
      <c r="H148" s="21" t="str">
        <v>09</v>
      </c>
      <c r="I148" s="21" t="str">
        <v>09 30 00.1009</v>
      </c>
      <c r="J148" s="21" t="str">
        <v>وزر 10*60 عادى</v>
      </c>
      <c r="K148" s="21" t="str">
        <v>Regular Skirting / Baseboard 10x60 cm</v>
      </c>
      <c r="L148" s="21">
        <v>0</v>
      </c>
    </row>
    <row r="149" spans="1:42" x14ac:dyDescent="0.25">
      <c r="A149" s="30" t="str">
        <v>09</v>
      </c>
      <c r="B149" s="21" t="str">
        <v>Finishes</v>
      </c>
      <c r="C149" s="21" t="str">
        <v>30</v>
      </c>
      <c r="D149" s="21" t="str">
        <v>Tiling</v>
      </c>
      <c r="E149" s="21" t="str">
        <v>00.10</v>
      </c>
      <c r="F149" s="34" t="str">
        <v>السيراميك</v>
      </c>
      <c r="G149" s="21">
        <v>0</v>
      </c>
      <c r="H149" s="21" t="str">
        <v>10</v>
      </c>
      <c r="I149" s="21" t="str">
        <v>09 30 00.1010</v>
      </c>
      <c r="J149" s="21" t="str">
        <v>وزر 10*60 غامق</v>
      </c>
      <c r="K149" s="21" t="str">
        <v>Dark Skirting / Baseboard 10x60 cm</v>
      </c>
      <c r="L149" s="21">
        <v>0</v>
      </c>
    </row>
    <row r="150" spans="1:42" x14ac:dyDescent="0.25">
      <c r="A150" s="30" t="str">
        <v>09</v>
      </c>
      <c r="B150" s="21" t="str">
        <v>Finishes</v>
      </c>
      <c r="C150" s="21" t="str">
        <v>30</v>
      </c>
      <c r="D150" s="21" t="str">
        <v>Tiling</v>
      </c>
      <c r="E150" s="21" t="str">
        <v>00.10</v>
      </c>
      <c r="F150" s="34" t="str">
        <v>السيراميك</v>
      </c>
      <c r="G150" s="21">
        <v>0</v>
      </c>
      <c r="H150" s="21" t="str">
        <v>11</v>
      </c>
      <c r="I150" s="21" t="str">
        <v>09 30 00.1011</v>
      </c>
      <c r="J150" s="21" t="str">
        <v>وزر 10*30</v>
      </c>
      <c r="K150" s="21" t="str">
        <v>Skirting / Baseboard 10x30 cm</v>
      </c>
      <c r="L150" s="21">
        <v>0</v>
      </c>
    </row>
    <row r="151" spans="1:42" s="4" customFormat="1" ht="30" x14ac:dyDescent="0.25">
      <c r="A151" s="60" t="str">
        <v>09</v>
      </c>
      <c r="B151" s="25" t="str">
        <v>Finishes</v>
      </c>
      <c r="C151" s="25" t="str">
        <v>30</v>
      </c>
      <c r="D151" s="25" t="str">
        <v>Tiling</v>
      </c>
      <c r="E151" s="25" t="str">
        <v>00.10</v>
      </c>
      <c r="F151" s="39" t="str">
        <v>السيراميك</v>
      </c>
      <c r="G151" s="25">
        <v>0</v>
      </c>
      <c r="H151" s="25" t="str">
        <v>12</v>
      </c>
      <c r="I151" s="25" t="str">
        <v>09 30 00.1012</v>
      </c>
      <c r="J151" s="25" t="str">
        <v>كيس صلايب</v>
      </c>
      <c r="K151" s="25" t="str">
        <v>Tile Leveling Spacers Bag / Crosses Bag</v>
      </c>
      <c r="L151" s="25" t="str">
        <v>BAG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spans="1:42" s="4" customFormat="1" x14ac:dyDescent="0.25">
      <c r="A152" s="60" t="str">
        <v>09</v>
      </c>
      <c r="B152" s="25" t="str">
        <v>Finishes</v>
      </c>
      <c r="C152" s="25" t="str">
        <v>30</v>
      </c>
      <c r="D152" s="25" t="str">
        <v>Tiling</v>
      </c>
      <c r="E152" s="25" t="str">
        <v>00.10</v>
      </c>
      <c r="F152" s="39" t="str">
        <v>السيراميك</v>
      </c>
      <c r="G152" s="25">
        <v>0</v>
      </c>
      <c r="H152" s="25" t="str">
        <v>13</v>
      </c>
      <c r="I152" s="25" t="str">
        <v>09 30 00.1013</v>
      </c>
      <c r="J152" s="25" t="str">
        <v>كيس غراء</v>
      </c>
      <c r="K152" s="25" t="str">
        <v>Tile Adhesive Bag</v>
      </c>
      <c r="L152" s="25" t="str">
        <v>BAG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spans="1:42" s="4" customFormat="1" x14ac:dyDescent="0.25">
      <c r="A153" s="60" t="str">
        <v>09</v>
      </c>
      <c r="B153" s="25" t="str">
        <v>Finishes</v>
      </c>
      <c r="C153" s="25" t="str">
        <v>30</v>
      </c>
      <c r="D153" s="25" t="str">
        <v>Tiling</v>
      </c>
      <c r="E153" s="25" t="str">
        <v>00.10</v>
      </c>
      <c r="F153" s="39" t="str">
        <v>السيراميك</v>
      </c>
      <c r="G153" s="25">
        <v>0</v>
      </c>
      <c r="H153" s="25" t="str">
        <v>14</v>
      </c>
      <c r="I153" s="25" t="str">
        <v>09 30 00.1014</v>
      </c>
      <c r="J153" s="25" t="str">
        <v>كيس ترويبه</v>
      </c>
      <c r="K153" s="25" t="str">
        <v>Grout Bag</v>
      </c>
      <c r="L153" s="25" t="str">
        <v>BAG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spans="1:42" s="4" customFormat="1" x14ac:dyDescent="0.25">
      <c r="A154" s="60" t="str">
        <v>09</v>
      </c>
      <c r="B154" s="25" t="str">
        <v>Finishes</v>
      </c>
      <c r="C154" s="25" t="str">
        <v>90</v>
      </c>
      <c r="D154" s="25" t="str">
        <v>Painting and Coating</v>
      </c>
      <c r="E154" s="25" t="str">
        <v>00.10</v>
      </c>
      <c r="F154" s="39" t="str">
        <v>الدهانات</v>
      </c>
      <c r="G154" s="25" t="str">
        <v>Paints</v>
      </c>
      <c r="H154" s="25" t="str">
        <v>01</v>
      </c>
      <c r="I154" s="25" t="str">
        <v>09 90 00.1001</v>
      </c>
      <c r="J154" s="25" t="str">
        <v>سكيمو أبيض داخلى</v>
      </c>
      <c r="K154" s="25" t="str">
        <v>Skimo White</v>
      </c>
      <c r="L154" s="25">
        <v>0</v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spans="1:42" s="4" customFormat="1" x14ac:dyDescent="0.25">
      <c r="A155" s="60" t="str">
        <v>09</v>
      </c>
      <c r="B155" s="25" t="str">
        <v>Finishes</v>
      </c>
      <c r="C155" s="25" t="str">
        <v>90</v>
      </c>
      <c r="D155" s="25" t="str">
        <v>Painting and Coating</v>
      </c>
      <c r="E155" s="25" t="str">
        <v>00.10</v>
      </c>
      <c r="F155" s="39" t="str">
        <v>الدهانات</v>
      </c>
      <c r="G155" s="25" t="str">
        <v>Paints</v>
      </c>
      <c r="H155" s="25" t="str">
        <v>02</v>
      </c>
      <c r="I155" s="25" t="str">
        <v>09 90 00.1002</v>
      </c>
      <c r="J155" s="25" t="str">
        <v>معجون أبيض 25 ك</v>
      </c>
      <c r="K155" s="25" t="str">
        <v>White Putty 25 kg</v>
      </c>
      <c r="L155" s="25">
        <v>0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spans="1:42" s="4" customFormat="1" x14ac:dyDescent="0.25">
      <c r="A156" s="60" t="str">
        <v>09</v>
      </c>
      <c r="B156" s="25" t="str">
        <v>Finishes</v>
      </c>
      <c r="C156" s="25" t="str">
        <v>90</v>
      </c>
      <c r="D156" s="25" t="str">
        <v>Painting and Coating</v>
      </c>
      <c r="E156" s="25" t="str">
        <v>00.10</v>
      </c>
      <c r="F156" s="39" t="str">
        <v>الدهانات</v>
      </c>
      <c r="G156" s="25" t="str">
        <v>Paints</v>
      </c>
      <c r="H156" s="25" t="str">
        <v>03</v>
      </c>
      <c r="I156" s="25" t="str">
        <v>09 90 00.1003</v>
      </c>
      <c r="J156" s="25" t="str">
        <v>برايمر أبيض داخلى</v>
      </c>
      <c r="K156" s="25" t="str">
        <v>White Primer</v>
      </c>
      <c r="L156" s="25">
        <v>0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spans="1:42" s="4" customFormat="1" ht="37.5" x14ac:dyDescent="0.25">
      <c r="A157" s="60" t="str">
        <v>09</v>
      </c>
      <c r="B157" s="25" t="str">
        <v>Finishes</v>
      </c>
      <c r="C157" s="25" t="str">
        <v>90</v>
      </c>
      <c r="D157" s="25" t="str">
        <v>Painting and Coating</v>
      </c>
      <c r="E157" s="25" t="str">
        <v>00.20</v>
      </c>
      <c r="F157" s="39" t="str">
        <v>الدهانات (سيحما + مايستر)</v>
      </c>
      <c r="G157" s="25" t="str">
        <v>Paints (SIGMA + MEISTER)</v>
      </c>
      <c r="H157" s="25" t="str">
        <v>01</v>
      </c>
      <c r="I157" s="25" t="str">
        <v>09 90 00.2001</v>
      </c>
      <c r="J157" s="25" t="str">
        <v>MEISTER WR SUPER PUTTY3 / BAG 25KG</v>
      </c>
      <c r="K157" s="25" t="str">
        <v>MEISTER WR SUPER PUTTY3 / BAG 25KG</v>
      </c>
      <c r="L157" s="25">
        <v>0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spans="1:42" s="4" customFormat="1" ht="37.5" x14ac:dyDescent="0.25">
      <c r="A158" s="60" t="str">
        <v>09</v>
      </c>
      <c r="B158" s="25" t="str">
        <v>Finishes</v>
      </c>
      <c r="C158" s="25" t="str">
        <v>90</v>
      </c>
      <c r="D158" s="25" t="str">
        <v>Painting and Coating</v>
      </c>
      <c r="E158" s="25" t="str">
        <v>00.20</v>
      </c>
      <c r="F158" s="39" t="str">
        <v>الدهانات (سيحما + مايستر)</v>
      </c>
      <c r="G158" s="25" t="str">
        <v>Paints (SIGMA + MEISTER)</v>
      </c>
      <c r="H158" s="25" t="str">
        <v>02</v>
      </c>
      <c r="I158" s="25" t="str">
        <v>09 90 00.2002</v>
      </c>
      <c r="J158" s="25" t="str">
        <v>AQUAMATT, COLOR-WHITE, P/N-0839, PACKING SIZE:15 LTR</v>
      </c>
      <c r="K158" s="25" t="str">
        <v>AQUAMATT, COLOR-WHITE, P/N-0839, PACKING SIZE:15 LTR</v>
      </c>
      <c r="L158" s="25">
        <v>0</v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spans="1:42" s="4" customFormat="1" ht="37.5" x14ac:dyDescent="0.25">
      <c r="A159" s="60" t="str">
        <v>09</v>
      </c>
      <c r="B159" s="25" t="str">
        <v>Finishes</v>
      </c>
      <c r="C159" s="25" t="str">
        <v>90</v>
      </c>
      <c r="D159" s="25" t="str">
        <v>Painting and Coating</v>
      </c>
      <c r="E159" s="25" t="str">
        <v>00.20</v>
      </c>
      <c r="F159" s="39" t="str">
        <v>الدهانات (سيحما + مايستر)</v>
      </c>
      <c r="G159" s="25" t="str">
        <v>Paints (SIGMA + MEISTER)</v>
      </c>
      <c r="H159" s="25" t="str">
        <v>03</v>
      </c>
      <c r="I159" s="25" t="str">
        <v>09 90 00.2003</v>
      </c>
      <c r="J159" s="25" t="str">
        <v>SIGMACRYL SILK, COLOR-APS 5766, P/N-0839, PACKING SIZE:15 LTR</v>
      </c>
      <c r="K159" s="25" t="str">
        <v>SIGMACRYL SILK, COLOR-APS 5766, P/N-0839, PACKING SIZE:15 LTR</v>
      </c>
      <c r="L159" s="25">
        <v>0</v>
      </c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spans="1:42" ht="37.5" x14ac:dyDescent="0.25">
      <c r="A160" s="30" t="str">
        <v>09</v>
      </c>
      <c r="B160" s="21" t="str">
        <v>Finishes</v>
      </c>
      <c r="C160" s="21" t="str">
        <v>90</v>
      </c>
      <c r="D160" s="21" t="str">
        <v>Painting and Coating</v>
      </c>
      <c r="E160" s="21" t="str">
        <v>00.20</v>
      </c>
      <c r="F160" s="34" t="str">
        <v>الدهانات (سيحما + مايستر)</v>
      </c>
      <c r="G160" s="21" t="str">
        <v>Paints (SIGMA + MEISTER)</v>
      </c>
      <c r="H160" s="21" t="str">
        <v>04</v>
      </c>
      <c r="I160" s="21" t="str">
        <v>09 90 00.2004</v>
      </c>
      <c r="J160" s="21" t="str">
        <v>SIGMACRYL SG, COLOR-APS 9401, P/N-0844, PACKING SIZE:15 LTR</v>
      </c>
      <c r="K160" s="21" t="str">
        <v>SIGMACRYL SG, COLOR-APS 9401, P/N-0844, PACKING SIZE:15 LTR</v>
      </c>
      <c r="L160" s="21">
        <v>0</v>
      </c>
    </row>
    <row r="161" spans="1:12" ht="37.5" x14ac:dyDescent="0.25">
      <c r="A161" s="30" t="str">
        <v>09</v>
      </c>
      <c r="B161" s="21" t="str">
        <v>Finishes</v>
      </c>
      <c r="C161" s="21" t="str">
        <v>90</v>
      </c>
      <c r="D161" s="21" t="str">
        <v>Painting and Coating</v>
      </c>
      <c r="E161" s="21" t="str">
        <v>00.20</v>
      </c>
      <c r="F161" s="34" t="str">
        <v>الدهانات (سيحما + مايستر)</v>
      </c>
      <c r="G161" s="21" t="str">
        <v>Paints (SIGMA + MEISTER)</v>
      </c>
      <c r="H161" s="21" t="str">
        <v>05</v>
      </c>
      <c r="I161" s="21" t="str">
        <v>09 90 00.2005</v>
      </c>
      <c r="J161" s="21" t="str">
        <v>MEISTER TILE ADHESIVE 801/ BAG 50KG</v>
      </c>
      <c r="K161" s="21" t="str">
        <v>MEISTER TILE ADHESIVE 801/ BAG 50KG</v>
      </c>
      <c r="L161" s="21">
        <v>0</v>
      </c>
    </row>
    <row r="162" spans="1:12" ht="45" x14ac:dyDescent="0.25">
      <c r="A162" s="30" t="str">
        <v>09</v>
      </c>
      <c r="B162" s="21" t="str">
        <v>Finishes</v>
      </c>
      <c r="C162" s="21" t="str">
        <v>90</v>
      </c>
      <c r="D162" s="21" t="str">
        <v>Painting and Coating</v>
      </c>
      <c r="E162" s="21" t="str">
        <v>00.20</v>
      </c>
      <c r="F162" s="34" t="str">
        <v>الدهانات (سيحما + مايستر)</v>
      </c>
      <c r="G162" s="21" t="str">
        <v>Paints (SIGMA + MEISTER)</v>
      </c>
      <c r="H162" s="21" t="str">
        <v>06</v>
      </c>
      <c r="I162" s="21" t="str">
        <v>09 90 00.2006</v>
      </c>
      <c r="J162" s="21" t="str">
        <v>SIGM ACRYLIC PRIMER PRODUCT CODE:0852, COLOR:WHITE, PACKING:DRUM 15LTR</v>
      </c>
      <c r="K162" s="21" t="str">
        <v>SIGM ACRYLIC PRIMER PRODUCT CODE:0852, COLOR:WHITE, PACKING:DRUM 15LTR</v>
      </c>
      <c r="L162" s="21">
        <v>0</v>
      </c>
    </row>
    <row r="163" spans="1:12" ht="45" x14ac:dyDescent="0.25">
      <c r="A163" s="30" t="str">
        <v>09</v>
      </c>
      <c r="B163" s="21" t="str">
        <v>Finishes</v>
      </c>
      <c r="C163" s="21" t="str">
        <v>90</v>
      </c>
      <c r="D163" s="21" t="str">
        <v>Painting and Coating</v>
      </c>
      <c r="E163" s="21" t="str">
        <v>00.20</v>
      </c>
      <c r="F163" s="34" t="str">
        <v>الدهانات (سيحما + مايستر)</v>
      </c>
      <c r="G163" s="21" t="str">
        <v>Paints (SIGMA + MEISTER)</v>
      </c>
      <c r="H163" s="21" t="str">
        <v>07</v>
      </c>
      <c r="I163" s="21" t="str">
        <v>09 90 00.2007</v>
      </c>
      <c r="J163" s="21" t="str">
        <v>SPRAY PLASTER PRODUCT CODE:0810, COLOR:WHITE, PACKING/DRUM 35KG</v>
      </c>
      <c r="K163" s="21" t="str">
        <v>SPRAY PLASTER PRODUCT CODE:0810, COLOR:WHITE, PACKING/DRUM 35KG</v>
      </c>
      <c r="L163" s="21">
        <v>0</v>
      </c>
    </row>
    <row r="164" spans="1:12" ht="37.5" x14ac:dyDescent="0.25">
      <c r="A164" s="30" t="str">
        <v>09</v>
      </c>
      <c r="B164" s="21" t="str">
        <v>Finishes</v>
      </c>
      <c r="C164" s="21" t="str">
        <v>90</v>
      </c>
      <c r="D164" s="21" t="str">
        <v>Painting and Coating</v>
      </c>
      <c r="E164" s="21" t="str">
        <v>00.20</v>
      </c>
      <c r="F164" s="34" t="str">
        <v>الدهانات (سيحما + مايستر)</v>
      </c>
      <c r="G164" s="21" t="str">
        <v>Paints (SIGMA + MEISTER)</v>
      </c>
      <c r="H164" s="21" t="str">
        <v>08</v>
      </c>
      <c r="I164" s="21" t="str">
        <v>09 90 00.2008</v>
      </c>
      <c r="J164" s="21" t="str">
        <v>MEISTER FINETILE GROUT CODE: F10, COLOR: WHITE PACKING: 20KG BAG</v>
      </c>
      <c r="K164" s="21" t="str">
        <v>MEISTER FINETILE GROUT CODE: F10, COLOR: WHITE PACKING: 20KG BAG</v>
      </c>
      <c r="L164" s="21">
        <v>0</v>
      </c>
    </row>
    <row r="165" spans="1:12" x14ac:dyDescent="0.25">
      <c r="A165" s="30" t="str">
        <v>10</v>
      </c>
      <c r="B165" s="21" t="str">
        <v>Specialties</v>
      </c>
      <c r="C165" s="21" t="str">
        <v>70</v>
      </c>
      <c r="D165" s="21" t="str">
        <v>Pest Control</v>
      </c>
      <c r="E165" s="21" t="str">
        <v>00.10</v>
      </c>
      <c r="F165" s="34" t="str">
        <v>مكافحة الحشرات</v>
      </c>
      <c r="G165" s="21" t="str">
        <v>Pest Control</v>
      </c>
      <c r="H165" s="21" t="str">
        <v>01</v>
      </c>
      <c r="I165" s="21" t="str">
        <v>10 70 00.1001</v>
      </c>
      <c r="J165" s="21" t="str">
        <v>مادة رش النمل</v>
      </c>
      <c r="K165" s="21" t="str">
        <v>Super Raslan Material</v>
      </c>
      <c r="L165" s="21">
        <v>0</v>
      </c>
    </row>
    <row r="166" spans="1:12" x14ac:dyDescent="0.25">
      <c r="A166" s="30" t="str">
        <v>10</v>
      </c>
      <c r="B166" s="21" t="str">
        <v>Specialties</v>
      </c>
      <c r="C166" s="21" t="str">
        <v>70</v>
      </c>
      <c r="D166" s="21" t="str">
        <v>Pest Control</v>
      </c>
      <c r="E166" s="21" t="str">
        <v>00.10</v>
      </c>
      <c r="F166" s="34" t="str">
        <v>مكافحة الحشرات</v>
      </c>
      <c r="G166" s="21" t="str">
        <v>Pest Control</v>
      </c>
      <c r="H166" s="21" t="str">
        <v>02</v>
      </c>
      <c r="I166" s="21" t="str">
        <v>10 70 00.1002</v>
      </c>
      <c r="J166" s="21" t="str">
        <v>Biflex Material</v>
      </c>
      <c r="K166" s="21" t="str">
        <v>Biflex Material</v>
      </c>
      <c r="L166" s="21">
        <v>0</v>
      </c>
    </row>
    <row r="167" spans="1:12" x14ac:dyDescent="0.25">
      <c r="A167" s="30" t="str">
        <v>31</v>
      </c>
      <c r="B167" s="21" t="str">
        <v>Earthwork</v>
      </c>
      <c r="C167" s="21" t="str">
        <v>25</v>
      </c>
      <c r="D167" s="21" t="str">
        <v>Erosion and Sedimentation Controls</v>
      </c>
      <c r="E167" s="21" t="str">
        <v>00.10</v>
      </c>
      <c r="F167" s="34" t="str">
        <v>نايلون شيت</v>
      </c>
      <c r="G167" s="21" t="str">
        <v>Nylon Sheets</v>
      </c>
      <c r="H167" s="21" t="str">
        <v>01</v>
      </c>
      <c r="I167" s="21" t="str">
        <v>31 25 00.1001</v>
      </c>
      <c r="J167" s="21" t="str">
        <v>50 micron</v>
      </c>
      <c r="K167" s="21" t="str">
        <v>50 micron</v>
      </c>
      <c r="L167" s="21" t="str">
        <v>Roll</v>
      </c>
    </row>
    <row r="168" spans="1:12" x14ac:dyDescent="0.25">
      <c r="A168" s="30" t="str">
        <v>31</v>
      </c>
      <c r="B168" s="21" t="str">
        <v>Earthwork</v>
      </c>
      <c r="C168" s="21" t="str">
        <v>25</v>
      </c>
      <c r="D168" s="21" t="str">
        <v>Erosion and Sedimentation Controls</v>
      </c>
      <c r="E168" s="21" t="str">
        <v>00.10</v>
      </c>
      <c r="F168" s="34" t="str">
        <v>نايلون شيت</v>
      </c>
      <c r="G168" s="21" t="str">
        <v>Nylon Sheets</v>
      </c>
      <c r="H168" s="21" t="str">
        <v>02</v>
      </c>
      <c r="I168" s="21" t="str">
        <v>31 25 00.1002</v>
      </c>
      <c r="J168" s="21" t="str">
        <v>100 micron</v>
      </c>
      <c r="K168" s="21" t="str">
        <v>100 micron</v>
      </c>
      <c r="L168" s="21" t="str">
        <v>Roll</v>
      </c>
    </row>
    <row r="169" spans="1:12" x14ac:dyDescent="0.25">
      <c r="A169" s="30" t="str">
        <v>31</v>
      </c>
      <c r="B169" s="21" t="str">
        <v>Earthwork</v>
      </c>
      <c r="C169" s="21" t="str">
        <v>25</v>
      </c>
      <c r="D169" s="21" t="str">
        <v>Erosion and Sedimentation Controls</v>
      </c>
      <c r="E169" s="21" t="str">
        <v>00.10</v>
      </c>
      <c r="F169" s="34" t="str">
        <v>نايلون شيت</v>
      </c>
      <c r="G169" s="21" t="str">
        <v>Nylon Sheets</v>
      </c>
      <c r="H169" s="21" t="str">
        <v>03</v>
      </c>
      <c r="I169" s="21" t="str">
        <v>31 25 00.1003</v>
      </c>
      <c r="J169" s="21" t="str">
        <v>150 micron</v>
      </c>
      <c r="K169" s="21" t="str">
        <v>150 micron</v>
      </c>
      <c r="L169" s="21" t="str">
        <v>Roll</v>
      </c>
    </row>
    <row r="170" spans="1:12" x14ac:dyDescent="0.25">
      <c r="A170" s="30" t="str">
        <v>31</v>
      </c>
      <c r="B170" s="21" t="str">
        <v>Earthwork</v>
      </c>
      <c r="C170" s="21" t="str">
        <v>25</v>
      </c>
      <c r="D170" s="21" t="str">
        <v>Erosion and Sedimentation Controls</v>
      </c>
      <c r="E170" s="21" t="str">
        <v>00.10</v>
      </c>
      <c r="F170" s="34" t="str">
        <v>نايلون شيت</v>
      </c>
      <c r="G170" s="21" t="str">
        <v>Nylon Sheets</v>
      </c>
      <c r="H170" s="21" t="str">
        <v>04</v>
      </c>
      <c r="I170" s="21" t="str">
        <v>31 25 00.1004</v>
      </c>
      <c r="J170" s="21" t="str">
        <v>200 micron</v>
      </c>
      <c r="K170" s="21" t="str">
        <v>200 micron</v>
      </c>
      <c r="L170" s="21" t="str">
        <v>Roll</v>
      </c>
    </row>
    <row r="171" spans="1:12" x14ac:dyDescent="0.25">
      <c r="A171" s="30" t="str">
        <v>31</v>
      </c>
      <c r="B171" s="21" t="str">
        <v>Earthwork</v>
      </c>
      <c r="C171" s="21" t="str">
        <v>25</v>
      </c>
      <c r="D171" s="21" t="str">
        <v>Erosion and Sedimentation Controls</v>
      </c>
      <c r="E171" s="21" t="str">
        <v>00.10</v>
      </c>
      <c r="F171" s="34" t="str">
        <v>نايلون شيت</v>
      </c>
      <c r="G171" s="21" t="str">
        <v>Nylon Sheets</v>
      </c>
      <c r="H171" s="21" t="str">
        <v>05</v>
      </c>
      <c r="I171" s="21" t="str">
        <v>31 25 00.1005</v>
      </c>
      <c r="J171" s="21" t="str">
        <v>250 micron</v>
      </c>
      <c r="K171" s="21" t="str">
        <v>250 micron</v>
      </c>
      <c r="L171" s="21" t="str">
        <v>Roll</v>
      </c>
    </row>
    <row r="172" spans="1:12" x14ac:dyDescent="0.25">
      <c r="A172" s="30" t="str">
        <v>31</v>
      </c>
      <c r="B172" s="21" t="str">
        <v>Earthwork</v>
      </c>
      <c r="C172" s="21" t="str">
        <v>25</v>
      </c>
      <c r="D172" s="21" t="str">
        <v>Erosion and Sedimentation Controls</v>
      </c>
      <c r="E172" s="21" t="str">
        <v>00.10</v>
      </c>
      <c r="F172" s="34" t="str">
        <v>نايلون شيت</v>
      </c>
      <c r="G172" s="21" t="str">
        <v>Nylon Sheets</v>
      </c>
      <c r="H172" s="21" t="str">
        <v>06</v>
      </c>
      <c r="I172" s="21" t="str">
        <v>31 25 00.1006</v>
      </c>
      <c r="J172" s="21" t="str">
        <v>300 micron</v>
      </c>
      <c r="K172" s="21" t="str">
        <v>300 micron</v>
      </c>
      <c r="L172" s="21" t="str">
        <v>Roll</v>
      </c>
    </row>
    <row r="173" spans="1:12" x14ac:dyDescent="0.25">
      <c r="A173" s="61" t="str">
        <v>31</v>
      </c>
      <c r="B173" s="26" t="str">
        <v>Earthwork</v>
      </c>
      <c r="C173" s="26" t="str">
        <v>25</v>
      </c>
      <c r="D173" s="26" t="str">
        <v>Erosion and Sedimentation Controls</v>
      </c>
      <c r="E173" s="26" t="str">
        <v>00.10</v>
      </c>
      <c r="F173" s="40" t="str">
        <v>نايلون شيت</v>
      </c>
      <c r="G173" s="26" t="str">
        <v>Nylon Sheets</v>
      </c>
      <c r="H173" s="26" t="str">
        <v>07</v>
      </c>
      <c r="I173" s="26" t="str">
        <v>31 25 00.1007</v>
      </c>
      <c r="J173" s="26" t="str">
        <v>350 micron</v>
      </c>
      <c r="K173" s="26" t="str">
        <v>350 micron</v>
      </c>
      <c r="L173" s="26" t="str">
        <v>Roll</v>
      </c>
    </row>
    <row r="174" spans="1:12" x14ac:dyDescent="0.25">
      <c r="A174" s="61" t="str">
        <v>31</v>
      </c>
      <c r="B174" s="26" t="str">
        <v>Earthwork</v>
      </c>
      <c r="C174" s="26" t="str">
        <v>25</v>
      </c>
      <c r="D174" s="26" t="str">
        <v>Erosion and Sedimentation Controls</v>
      </c>
      <c r="E174" s="26" t="str">
        <v>00.10</v>
      </c>
      <c r="F174" s="40" t="str">
        <v>نايلون شيت</v>
      </c>
      <c r="G174" s="26" t="str">
        <v>Nylon Sheets</v>
      </c>
      <c r="H174" s="26" t="str">
        <v>08</v>
      </c>
      <c r="I174" s="26" t="str">
        <v>31 25 00.1008</v>
      </c>
      <c r="J174" s="26" t="str">
        <v>400 micron</v>
      </c>
      <c r="K174" s="26" t="str">
        <v>400 micron</v>
      </c>
      <c r="L174" s="26" t="str">
        <v>Roll</v>
      </c>
    </row>
    <row r="175" spans="1:12" x14ac:dyDescent="0.25">
      <c r="A175" s="61" t="str">
        <v>31</v>
      </c>
      <c r="B175" s="26" t="str">
        <v>Earthwork</v>
      </c>
      <c r="C175" s="26" t="str">
        <v>25</v>
      </c>
      <c r="D175" s="26" t="str">
        <v>Erosion and Sedimentation Controls</v>
      </c>
      <c r="E175" s="26" t="str">
        <v>00.10</v>
      </c>
      <c r="F175" s="40" t="str">
        <v>نايلون شيت</v>
      </c>
      <c r="G175" s="26" t="str">
        <v>Nylon Sheets</v>
      </c>
      <c r="H175" s="26" t="str">
        <v>09</v>
      </c>
      <c r="I175" s="26" t="str">
        <v>31 25 00.1009</v>
      </c>
      <c r="J175" s="26" t="str">
        <v>450 micron</v>
      </c>
      <c r="K175" s="26" t="str">
        <v>450 micron</v>
      </c>
      <c r="L175" s="26" t="str">
        <v>Roll</v>
      </c>
    </row>
    <row r="176" spans="1:12" x14ac:dyDescent="0.25">
      <c r="A176" s="61" t="str">
        <v>32</v>
      </c>
      <c r="B176" s="26" t="str">
        <v>Exterior Improvements</v>
      </c>
      <c r="C176" s="26" t="str">
        <v>14</v>
      </c>
      <c r="D176" s="26" t="str">
        <v>Unit Pavers</v>
      </c>
      <c r="E176" s="26" t="str">
        <v>00.10</v>
      </c>
      <c r="F176" s="40" t="str">
        <v>انترلوك</v>
      </c>
      <c r="G176" s="26" t="str">
        <v>Interlock Pavers</v>
      </c>
      <c r="H176" s="26" t="str">
        <v>01</v>
      </c>
      <c r="I176" s="26" t="str">
        <v>32 14 00.1001</v>
      </c>
      <c r="J176" s="26" t="str">
        <v>انترلوك مقاس 6 سم 10X سم</v>
      </c>
      <c r="K176" s="26" t="str">
        <v>Interlock Size 6 cm x 10 cm</v>
      </c>
      <c r="L176" s="26" t="str">
        <v>Palet</v>
      </c>
    </row>
    <row r="177" spans="1:12" x14ac:dyDescent="0.25">
      <c r="A177" s="61" t="str">
        <v>40</v>
      </c>
      <c r="B177" s="26" t="str">
        <v>Process Integration</v>
      </c>
      <c r="C177" s="26" t="str">
        <v>10</v>
      </c>
      <c r="D177" s="26" t="str">
        <v>Process Equipment</v>
      </c>
      <c r="E177" s="26" t="str">
        <v>00.10</v>
      </c>
      <c r="F177" s="40" t="str">
        <v>المعدات</v>
      </c>
      <c r="G177" s="26" t="str">
        <v>Equipment</v>
      </c>
      <c r="H177" s="26" t="str">
        <v>01</v>
      </c>
      <c r="I177" s="26" t="str">
        <v>40 10 00.1001</v>
      </c>
      <c r="J177" s="26" t="str">
        <v>مولد كهرباء مقاس 13500</v>
      </c>
      <c r="K177" s="26" t="str">
        <v>Generator 13500</v>
      </c>
      <c r="L177" s="26">
        <v>0</v>
      </c>
    </row>
    <row r="178" spans="1:12" x14ac:dyDescent="0.25">
      <c r="A178" s="61" t="str">
        <v>40</v>
      </c>
      <c r="B178" s="26" t="str">
        <v>Process Integration</v>
      </c>
      <c r="C178" s="26" t="str">
        <v>10</v>
      </c>
      <c r="D178" s="26" t="str">
        <v>Process Equipment</v>
      </c>
      <c r="E178" s="26" t="str">
        <v>00.10</v>
      </c>
      <c r="F178" s="40" t="str">
        <v>المعدات</v>
      </c>
      <c r="G178" s="26" t="str">
        <v>Equipment</v>
      </c>
      <c r="H178" s="26" t="str">
        <v>02</v>
      </c>
      <c r="I178" s="26" t="str">
        <v>40 10 00.1002</v>
      </c>
      <c r="J178" s="26" t="str">
        <v>اصلاح هزاز</v>
      </c>
      <c r="K178" s="26" t="str">
        <v>Vibrator Repair</v>
      </c>
      <c r="L178" s="26">
        <v>0</v>
      </c>
    </row>
    <row r="179" spans="1:12" x14ac:dyDescent="0.25">
      <c r="A179" s="61" t="str">
        <v>40</v>
      </c>
      <c r="B179" s="26" t="str">
        <v>Process Integration</v>
      </c>
      <c r="C179" s="26" t="str">
        <v>10</v>
      </c>
      <c r="D179" s="26" t="str">
        <v>Process Equipment</v>
      </c>
      <c r="E179" s="26" t="str">
        <v>00.10</v>
      </c>
      <c r="F179" s="40" t="str">
        <v>المعدات</v>
      </c>
      <c r="G179" s="26" t="str">
        <v>Equipment</v>
      </c>
      <c r="H179" s="26" t="str">
        <v>03</v>
      </c>
      <c r="I179" s="26" t="str">
        <v>40 10 00.1003</v>
      </c>
      <c r="J179" s="26" t="str">
        <v>تنايه</v>
      </c>
      <c r="K179" s="26" t="str">
        <v>Bending Machine</v>
      </c>
      <c r="L179" s="26">
        <v>0</v>
      </c>
    </row>
    <row r="180" spans="1:12" ht="30" x14ac:dyDescent="0.25">
      <c r="A180" s="61" t="str">
        <v>40</v>
      </c>
      <c r="B180" s="26" t="str">
        <v>Process Integration</v>
      </c>
      <c r="C180" s="26" t="str">
        <v>10</v>
      </c>
      <c r="D180" s="26" t="str">
        <v>Process Equipment</v>
      </c>
      <c r="E180" s="26" t="str">
        <v>00.10</v>
      </c>
      <c r="F180" s="40" t="str">
        <v>المعدات</v>
      </c>
      <c r="G180" s="26" t="str">
        <v>Equipment</v>
      </c>
      <c r="H180" s="26" t="str">
        <v>04</v>
      </c>
      <c r="I180" s="26" t="str">
        <v>40 10 00.1004</v>
      </c>
      <c r="J180" s="26" t="str">
        <v>تنايه حديد كورى 25مم</v>
      </c>
      <c r="K180" s="26" t="str">
        <v>Korean Iron Bending Machine 25 mm</v>
      </c>
      <c r="L180" s="26">
        <v>0</v>
      </c>
    </row>
    <row r="181" spans="1:12" x14ac:dyDescent="0.25">
      <c r="A181" s="61" t="str">
        <v>40</v>
      </c>
      <c r="B181" s="26" t="str">
        <v>Process Integration</v>
      </c>
      <c r="C181" s="26" t="str">
        <v>10</v>
      </c>
      <c r="D181" s="26" t="str">
        <v>Process Equipment</v>
      </c>
      <c r="E181" s="26" t="str">
        <v>00.10</v>
      </c>
      <c r="F181" s="40" t="str">
        <v>المعدات</v>
      </c>
      <c r="G181" s="26" t="str">
        <v>Equipment</v>
      </c>
      <c r="H181" s="26" t="str">
        <v>06</v>
      </c>
      <c r="I181" s="26" t="str">
        <v>40 10 00.1006</v>
      </c>
      <c r="J181" s="26" t="str">
        <v>بوب كات</v>
      </c>
      <c r="K181" s="26" t="str">
        <v>Bobcat</v>
      </c>
      <c r="L181" s="26">
        <v>0</v>
      </c>
    </row>
    <row r="182" spans="1:12" x14ac:dyDescent="0.25">
      <c r="A182" s="61" t="str">
        <v>40</v>
      </c>
      <c r="B182" s="26" t="str">
        <v>Process Integration</v>
      </c>
      <c r="C182" s="26" t="str">
        <v>10</v>
      </c>
      <c r="D182" s="26" t="str">
        <v>Process Equipment</v>
      </c>
      <c r="E182" s="26" t="str">
        <v>00.10</v>
      </c>
      <c r="F182" s="40" t="str">
        <v>المعدات</v>
      </c>
      <c r="G182" s="26" t="str">
        <v>Equipment</v>
      </c>
      <c r="H182" s="26" t="str">
        <v>07</v>
      </c>
      <c r="I182" s="26" t="str">
        <v>40 10 00.1007</v>
      </c>
      <c r="J182" s="26" t="str">
        <v>كرين</v>
      </c>
      <c r="K182" s="26" t="str">
        <v>Crane</v>
      </c>
      <c r="L182" s="26">
        <v>0</v>
      </c>
    </row>
    <row r="183" spans="1:12" x14ac:dyDescent="0.25">
      <c r="A183" s="61" t="str">
        <v>40</v>
      </c>
      <c r="B183" s="26" t="str">
        <v>Process Integration</v>
      </c>
      <c r="C183" s="26" t="str">
        <v>10</v>
      </c>
      <c r="D183" s="26" t="str">
        <v>Process Equipment</v>
      </c>
      <c r="E183" s="26" t="str">
        <v>00.10</v>
      </c>
      <c r="F183" s="40" t="str">
        <v>المعدات</v>
      </c>
      <c r="G183" s="26" t="str">
        <v>Equipment</v>
      </c>
      <c r="H183" s="26" t="str">
        <v>08</v>
      </c>
      <c r="I183" s="26" t="str">
        <v>40 10 00.1008</v>
      </c>
      <c r="J183" s="26" t="str">
        <v>سيارة نقل</v>
      </c>
      <c r="K183" s="26" t="str">
        <v>Truck</v>
      </c>
      <c r="L183" s="26">
        <v>0</v>
      </c>
    </row>
    <row r="184" spans="1:12" x14ac:dyDescent="0.25">
      <c r="A184" s="61" t="str">
        <v>40</v>
      </c>
      <c r="B184" s="26" t="str">
        <v>Process Integration</v>
      </c>
      <c r="C184" s="26" t="str">
        <v>10</v>
      </c>
      <c r="D184" s="26" t="str">
        <v>Process Equipment</v>
      </c>
      <c r="E184" s="26" t="str">
        <v>00.10</v>
      </c>
      <c r="F184" s="40" t="str">
        <v>المعدات</v>
      </c>
      <c r="G184" s="26" t="str">
        <v>Equipment</v>
      </c>
      <c r="H184" s="26" t="str">
        <v>09</v>
      </c>
      <c r="I184" s="26" t="str">
        <v>40 10 00.1009</v>
      </c>
      <c r="J184" s="26" t="str">
        <v>سيارة مخلفات</v>
      </c>
      <c r="K184" s="26" t="str">
        <v>Waste Truck</v>
      </c>
      <c r="L184" s="26">
        <v>0</v>
      </c>
    </row>
    <row r="185" spans="1:12" x14ac:dyDescent="0.25">
      <c r="A185" s="61" t="str">
        <v>40</v>
      </c>
      <c r="B185" s="26" t="str">
        <v>Process Integration</v>
      </c>
      <c r="C185" s="26" t="str">
        <v>10</v>
      </c>
      <c r="D185" s="26" t="str">
        <v>Process Equipment</v>
      </c>
      <c r="E185" s="26" t="str">
        <v>00.10</v>
      </c>
      <c r="F185" s="40" t="str">
        <v>المعدات</v>
      </c>
      <c r="G185" s="26" t="str">
        <v>Equipment</v>
      </c>
      <c r="H185" s="26" t="str">
        <v>10</v>
      </c>
      <c r="I185" s="26" t="str">
        <v>40 10 00.1010</v>
      </c>
      <c r="J185" s="26" t="str">
        <v>رافعة (شوكة)</v>
      </c>
      <c r="K185" s="26" t="str">
        <v>Forklift</v>
      </c>
      <c r="L185" s="26">
        <v>0</v>
      </c>
    </row>
    <row r="186" spans="1:12" x14ac:dyDescent="0.25">
      <c r="A186" s="61" t="str">
        <v>40</v>
      </c>
      <c r="B186" s="26" t="str">
        <v>Process Integration</v>
      </c>
      <c r="C186" s="26" t="str">
        <v>10</v>
      </c>
      <c r="D186" s="26" t="str">
        <v>Process Equipment</v>
      </c>
      <c r="E186" s="26" t="str">
        <v>00.10</v>
      </c>
      <c r="F186" s="40" t="str">
        <v>المعدات</v>
      </c>
      <c r="G186" s="26" t="str">
        <v>Equipment</v>
      </c>
      <c r="H186" s="26" t="str">
        <v>11</v>
      </c>
      <c r="I186" s="26" t="str">
        <v>40 10 00.1011</v>
      </c>
      <c r="J186" s="26" t="str">
        <v>كباش</v>
      </c>
      <c r="K186" s="26" t="str">
        <v>Pliers</v>
      </c>
      <c r="L186" s="26">
        <v>0</v>
      </c>
    </row>
    <row r="187" spans="1:12" x14ac:dyDescent="0.25">
      <c r="A187" s="61" t="str">
        <v>40</v>
      </c>
      <c r="B187" s="26" t="str">
        <v>Process Integration</v>
      </c>
      <c r="C187" s="26" t="str">
        <v>10</v>
      </c>
      <c r="D187" s="26" t="str">
        <v>Process Equipment</v>
      </c>
      <c r="E187" s="26" t="str">
        <v>00.10</v>
      </c>
      <c r="F187" s="40" t="str">
        <v>المعدات</v>
      </c>
      <c r="G187" s="26" t="str">
        <v>Equipment</v>
      </c>
      <c r="H187" s="26" t="str">
        <v>12</v>
      </c>
      <c r="I187" s="26" t="str">
        <v>40 10 00.1012</v>
      </c>
      <c r="J187" s="26" t="str">
        <v>زيت مولد 250مم</v>
      </c>
      <c r="K187" s="26" t="str">
        <v>Generator Oil 250 mm</v>
      </c>
      <c r="L187" s="26">
        <v>0</v>
      </c>
    </row>
    <row r="188" spans="1:12" x14ac:dyDescent="0.25">
      <c r="A188" s="61" t="str">
        <v>40</v>
      </c>
      <c r="B188" s="26" t="str">
        <v>Process Integration</v>
      </c>
      <c r="C188" s="26" t="str">
        <v>10</v>
      </c>
      <c r="D188" s="26" t="str">
        <v>Process Equipment</v>
      </c>
      <c r="E188" s="26" t="str">
        <v>00.10</v>
      </c>
      <c r="F188" s="40" t="str">
        <v>المعدات</v>
      </c>
      <c r="G188" s="26" t="str">
        <v>Equipment</v>
      </c>
      <c r="H188" s="26" t="str">
        <v>13</v>
      </c>
      <c r="I188" s="26" t="str">
        <v>40 10 00.1013</v>
      </c>
      <c r="J188" s="26" t="str">
        <v>بنزين</v>
      </c>
      <c r="K188" s="26" t="str">
        <v>Gasoline</v>
      </c>
      <c r="L188" s="26">
        <v>0</v>
      </c>
    </row>
    <row r="189" spans="1:12" ht="30" x14ac:dyDescent="0.25">
      <c r="A189" s="61" t="str">
        <v>41</v>
      </c>
      <c r="B189" s="26" t="str">
        <v>Material Processing and Handling Equipment</v>
      </c>
      <c r="C189" s="26" t="str">
        <v>10</v>
      </c>
      <c r="D189" s="26" t="str">
        <v>Chemical Processing Equipment</v>
      </c>
      <c r="E189" s="26" t="str">
        <v>00.10</v>
      </c>
      <c r="F189" s="40" t="str">
        <v>مواد بناء ومواد اخرى</v>
      </c>
      <c r="G189" s="26" t="str">
        <v>Building Materials and Others</v>
      </c>
      <c r="H189" s="26" t="str">
        <v>01</v>
      </c>
      <c r="I189" s="26" t="str">
        <v>41 10 00.1001</v>
      </c>
      <c r="J189" s="26" t="str">
        <v>ماده تزريع هيلتى المانى 500مم</v>
      </c>
      <c r="K189" s="26" t="str">
        <v>German Anchor Material 500 mm</v>
      </c>
      <c r="L189" s="26">
        <v>0</v>
      </c>
    </row>
    <row r="190" spans="1:12" ht="30" x14ac:dyDescent="0.25">
      <c r="A190" s="61" t="str">
        <v>41</v>
      </c>
      <c r="B190" s="26" t="str">
        <v>Material Processing and Handling Equipment</v>
      </c>
      <c r="C190" s="26" t="str">
        <v>10</v>
      </c>
      <c r="D190" s="26" t="str">
        <v>Chemical Processing Equipment</v>
      </c>
      <c r="E190" s="26" t="str">
        <v>00.10</v>
      </c>
      <c r="F190" s="40" t="str">
        <v>مواد بناء ومواد اخرى</v>
      </c>
      <c r="G190" s="26" t="str">
        <v>Building Materials and Others</v>
      </c>
      <c r="H190" s="26" t="str">
        <v>03</v>
      </c>
      <c r="I190" s="26" t="str">
        <v>41 10 00.1003</v>
      </c>
      <c r="J190" s="26" t="str">
        <v>بنطه تخريم 16مم</v>
      </c>
      <c r="K190" s="26" t="str">
        <v>Drilling Bit 16 mm</v>
      </c>
      <c r="L190" s="26">
        <v>0</v>
      </c>
    </row>
    <row r="191" spans="1:12" ht="30" x14ac:dyDescent="0.25">
      <c r="A191" s="61" t="str">
        <v>41</v>
      </c>
      <c r="B191" s="26" t="str">
        <v>Material Processing and Handling Equipment</v>
      </c>
      <c r="C191" s="26" t="str">
        <v>10</v>
      </c>
      <c r="D191" s="26" t="str">
        <v>Chemical Processing Equipment</v>
      </c>
      <c r="E191" s="26" t="str">
        <v>00.10</v>
      </c>
      <c r="F191" s="40" t="str">
        <v>مواد بناء ومواد اخرى</v>
      </c>
      <c r="G191" s="26" t="str">
        <v>Building Materials and Others</v>
      </c>
      <c r="H191" s="26" t="str">
        <v>04</v>
      </c>
      <c r="I191" s="26" t="str">
        <v>41 10 00.1004</v>
      </c>
      <c r="J191" s="26" t="str">
        <v>ماده تزريع</v>
      </c>
      <c r="K191" s="26" t="str">
        <v>Anchor Material</v>
      </c>
      <c r="L191" s="26">
        <v>0</v>
      </c>
    </row>
    <row r="192" spans="1:12" ht="30" x14ac:dyDescent="0.25">
      <c r="A192" s="61" t="str">
        <v>41</v>
      </c>
      <c r="B192" s="26" t="str">
        <v>Material Processing and Handling Equipment</v>
      </c>
      <c r="C192" s="26" t="str">
        <v>10</v>
      </c>
      <c r="D192" s="26" t="str">
        <v>Chemical Processing Equipment</v>
      </c>
      <c r="E192" s="26" t="str">
        <v>00.10</v>
      </c>
      <c r="F192" s="40" t="str">
        <v>مواد بناء ومواد اخرى</v>
      </c>
      <c r="G192" s="26" t="str">
        <v>Building Materials and Others</v>
      </c>
      <c r="H192" s="26" t="str">
        <v>05</v>
      </c>
      <c r="I192" s="26" t="str">
        <v>41 10 00.1005</v>
      </c>
      <c r="J192" s="26" t="str">
        <v>ماده تزريع حديد</v>
      </c>
      <c r="K192" s="26" t="str">
        <v>Iron Anchor Material</v>
      </c>
      <c r="L192" s="26">
        <v>0</v>
      </c>
    </row>
    <row r="193" spans="1:12" ht="30" x14ac:dyDescent="0.25">
      <c r="A193" s="61" t="str">
        <v>41</v>
      </c>
      <c r="B193" s="26" t="str">
        <v>Material Processing and Handling Equipment</v>
      </c>
      <c r="C193" s="26" t="str">
        <v>10</v>
      </c>
      <c r="D193" s="26" t="str">
        <v>Chemical Processing Equipment</v>
      </c>
      <c r="E193" s="26" t="str">
        <v>00.10</v>
      </c>
      <c r="F193" s="40" t="str">
        <v>مواد بناء ومواد اخرى</v>
      </c>
      <c r="G193" s="26" t="str">
        <v>Building Materials and Others</v>
      </c>
      <c r="H193" s="26" t="str">
        <v>06</v>
      </c>
      <c r="I193" s="26" t="str">
        <v>41 10 00.1006</v>
      </c>
      <c r="J193" s="26" t="str">
        <v>بنطه خرسانه</v>
      </c>
      <c r="K193" s="26" t="str">
        <v>Concrete Bit</v>
      </c>
      <c r="L193" s="26">
        <v>0</v>
      </c>
    </row>
    <row r="194" spans="1:12" ht="30" x14ac:dyDescent="0.25">
      <c r="A194" s="61" t="str">
        <v>41</v>
      </c>
      <c r="B194" s="26" t="str">
        <v>Material Processing and Handling Equipment</v>
      </c>
      <c r="C194" s="26" t="str">
        <v>10</v>
      </c>
      <c r="D194" s="26" t="str">
        <v>Chemical Processing Equipment</v>
      </c>
      <c r="E194" s="26" t="str">
        <v>00.10</v>
      </c>
      <c r="F194" s="40" t="str">
        <v>مواد بناء ومواد اخرى</v>
      </c>
      <c r="G194" s="26" t="str">
        <v>Building Materials and Others</v>
      </c>
      <c r="H194" s="26" t="str">
        <v>07</v>
      </c>
      <c r="I194" s="26" t="str">
        <v>41 10 00.1007</v>
      </c>
      <c r="J194" s="26" t="str">
        <v>اسطوانه قطعيه</v>
      </c>
      <c r="K194" s="26" t="str">
        <v>Cutting Wheel</v>
      </c>
      <c r="L194" s="26">
        <v>0</v>
      </c>
    </row>
    <row r="195" spans="1:12" ht="30" x14ac:dyDescent="0.25">
      <c r="A195" s="61" t="str">
        <v>41</v>
      </c>
      <c r="B195" s="26" t="str">
        <v>Material Processing and Handling Equipment</v>
      </c>
      <c r="C195" s="26" t="str">
        <v>10</v>
      </c>
      <c r="D195" s="26" t="str">
        <v>Chemical Processing Equipment</v>
      </c>
      <c r="E195" s="26" t="str">
        <v>00.10</v>
      </c>
      <c r="F195" s="40" t="str">
        <v>مواد بناء ومواد اخرى</v>
      </c>
      <c r="G195" s="26" t="str">
        <v>Building Materials and Others</v>
      </c>
      <c r="H195" s="26" t="str">
        <v>08</v>
      </c>
      <c r="I195" s="26" t="str">
        <v>41 10 00.1008</v>
      </c>
      <c r="J195" s="26" t="str">
        <v>زنك رنش 2.5 لتر</v>
      </c>
      <c r="K195" s="26" t="str">
        <v>Zinc Rich 2.5 liter</v>
      </c>
      <c r="L195" s="26">
        <v>0</v>
      </c>
    </row>
    <row r="196" spans="1:12" ht="30" x14ac:dyDescent="0.25">
      <c r="A196" s="61" t="str">
        <v>41</v>
      </c>
      <c r="B196" s="26" t="str">
        <v>Material Processing and Handling Equipment</v>
      </c>
      <c r="C196" s="26" t="str">
        <v>10</v>
      </c>
      <c r="D196" s="26" t="str">
        <v>Chemical Processing Equipment</v>
      </c>
      <c r="E196" s="26" t="str">
        <v>00.10</v>
      </c>
      <c r="F196" s="40" t="str">
        <v>مواد بناء ومواد اخرى</v>
      </c>
      <c r="G196" s="26" t="str">
        <v>Building Materials and Others</v>
      </c>
      <c r="H196" s="26" t="str">
        <v>09</v>
      </c>
      <c r="I196" s="26" t="str">
        <v>41 10 00.1009</v>
      </c>
      <c r="J196" s="26" t="str">
        <v>ترميم خرسانه SE 20 K.g</v>
      </c>
      <c r="K196" s="26" t="str">
        <v>Concrete Repair SE 20 kg</v>
      </c>
      <c r="L196" s="26">
        <v>0</v>
      </c>
    </row>
    <row r="197" spans="1:12" ht="30" x14ac:dyDescent="0.25">
      <c r="A197" s="61" t="str">
        <v>41</v>
      </c>
      <c r="B197" s="26" t="str">
        <v>Material Processing and Handling Equipment</v>
      </c>
      <c r="C197" s="26" t="str">
        <v>10</v>
      </c>
      <c r="D197" s="26" t="str">
        <v>Chemical Processing Equipment</v>
      </c>
      <c r="E197" s="26" t="str">
        <v>00.10</v>
      </c>
      <c r="F197" s="40" t="str">
        <v>مواد بناء ومواد اخرى</v>
      </c>
      <c r="G197" s="26" t="str">
        <v>Building Materials and Others</v>
      </c>
      <c r="H197" s="26" t="str">
        <v>10</v>
      </c>
      <c r="I197" s="26" t="str">
        <v>41 10 00.1010</v>
      </c>
      <c r="J197" s="26" t="str">
        <v>اسطوانه قطعيه 9 انش</v>
      </c>
      <c r="K197" s="26" t="str">
        <v>Cutting Wheel 9 inch</v>
      </c>
      <c r="L197" s="26">
        <v>0</v>
      </c>
    </row>
    <row r="198" spans="1:12" ht="30" x14ac:dyDescent="0.25">
      <c r="A198" s="61" t="str">
        <v>41</v>
      </c>
      <c r="B198" s="26" t="str">
        <v>Material Processing and Handling Equipment</v>
      </c>
      <c r="C198" s="26" t="str">
        <v>10</v>
      </c>
      <c r="D198" s="26" t="str">
        <v>Chemical Processing Equipment</v>
      </c>
      <c r="E198" s="26" t="str">
        <v>00.10</v>
      </c>
      <c r="F198" s="40" t="str">
        <v>مواد بناء ومواد اخرى</v>
      </c>
      <c r="G198" s="26" t="str">
        <v>Building Materials and Others</v>
      </c>
      <c r="H198" s="26" t="str">
        <v>11</v>
      </c>
      <c r="I198" s="26" t="str">
        <v>41 10 00.1011</v>
      </c>
      <c r="J198" s="26" t="str">
        <v>شنمبر لاعمال النجاره</v>
      </c>
      <c r="K198" s="26" t="str">
        <v>Carpenter Clamp</v>
      </c>
      <c r="L198" s="26">
        <v>0</v>
      </c>
    </row>
    <row r="199" spans="1:12" ht="30" x14ac:dyDescent="0.25">
      <c r="A199" s="61" t="str">
        <v>41</v>
      </c>
      <c r="B199" s="26" t="str">
        <v>Material Processing and Handling Equipment</v>
      </c>
      <c r="C199" s="26" t="str">
        <v>10</v>
      </c>
      <c r="D199" s="26" t="str">
        <v>Chemical Processing Equipment</v>
      </c>
      <c r="E199" s="26" t="str">
        <v>00.10</v>
      </c>
      <c r="F199" s="40" t="str">
        <v>مواد بناء ومواد اخرى</v>
      </c>
      <c r="G199" s="26" t="str">
        <v>Building Materials and Others</v>
      </c>
      <c r="H199" s="26" t="str">
        <v>12</v>
      </c>
      <c r="I199" s="26" t="str">
        <v>41 10 00.1012</v>
      </c>
      <c r="J199" s="26" t="str">
        <v>ماسوره تاى رود بلاستيك</v>
      </c>
      <c r="K199" s="26" t="str">
        <v>Plastic Tie Rod Pipe</v>
      </c>
      <c r="L199" s="26">
        <v>0</v>
      </c>
    </row>
    <row r="200" spans="1:12" ht="30" x14ac:dyDescent="0.25">
      <c r="A200" s="61" t="str">
        <v>41</v>
      </c>
      <c r="B200" s="26" t="str">
        <v>Material Processing and Handling Equipment</v>
      </c>
      <c r="C200" s="26" t="str">
        <v>10</v>
      </c>
      <c r="D200" s="26" t="str">
        <v>Chemical Processing Equipment</v>
      </c>
      <c r="E200" s="26" t="str">
        <v>00.10</v>
      </c>
      <c r="F200" s="40" t="str">
        <v>مواد بناء ومواد اخرى</v>
      </c>
      <c r="G200" s="26" t="str">
        <v>Building Materials and Others</v>
      </c>
      <c r="H200" s="26" t="str">
        <v>14</v>
      </c>
      <c r="I200" s="26" t="str">
        <v>41 10 00.1014</v>
      </c>
      <c r="J200" s="26" t="str">
        <v>لفف سلك مسامير</v>
      </c>
      <c r="K200" s="26" t="str">
        <v>Nail Wire Roll</v>
      </c>
      <c r="L200" s="26">
        <v>0</v>
      </c>
    </row>
    <row r="201" spans="1:12" ht="30" x14ac:dyDescent="0.25">
      <c r="A201" s="61" t="str">
        <v>41</v>
      </c>
      <c r="B201" s="26" t="str">
        <v>Material Processing and Handling Equipment</v>
      </c>
      <c r="C201" s="26" t="str">
        <v>10</v>
      </c>
      <c r="D201" s="26" t="str">
        <v>Chemical Processing Equipment</v>
      </c>
      <c r="E201" s="26" t="str">
        <v>00.10</v>
      </c>
      <c r="F201" s="40" t="str">
        <v>مواد بناء ومواد اخرى</v>
      </c>
      <c r="G201" s="26" t="str">
        <v>Building Materials and Others</v>
      </c>
      <c r="H201" s="26" t="str">
        <v>15</v>
      </c>
      <c r="I201" s="26" t="str">
        <v>41 10 00.1015</v>
      </c>
      <c r="J201" s="26" t="str">
        <v>كرتونه مسمار عادى</v>
      </c>
      <c r="K201" s="26" t="str">
        <v>Ordinary Nail Carton</v>
      </c>
      <c r="L201" s="26">
        <v>0</v>
      </c>
    </row>
    <row r="202" spans="1:12" ht="30" x14ac:dyDescent="0.25">
      <c r="A202" s="61" t="str">
        <v>41</v>
      </c>
      <c r="B202" s="26" t="str">
        <v>Material Processing and Handling Equipment</v>
      </c>
      <c r="C202" s="26" t="str">
        <v>10</v>
      </c>
      <c r="D202" s="26" t="str">
        <v>Chemical Processing Equipment</v>
      </c>
      <c r="E202" s="26" t="str">
        <v>00.10</v>
      </c>
      <c r="F202" s="40" t="str">
        <v>مواد بناء ومواد اخرى</v>
      </c>
      <c r="G202" s="26" t="str">
        <v>Building Materials and Others</v>
      </c>
      <c r="H202" s="26" t="str">
        <v>16</v>
      </c>
      <c r="I202" s="26" t="str">
        <v>41 10 00.1016</v>
      </c>
      <c r="J202" s="26" t="str">
        <v>كرتونه مسمار صلب</v>
      </c>
      <c r="K202" s="26" t="str">
        <v>Hard Nail Carton</v>
      </c>
      <c r="L202" s="26">
        <v>0</v>
      </c>
    </row>
    <row r="203" spans="1:12" ht="30" x14ac:dyDescent="0.25">
      <c r="A203" s="61" t="str">
        <v>41</v>
      </c>
      <c r="B203" s="26" t="str">
        <v>Material Processing and Handling Equipment</v>
      </c>
      <c r="C203" s="26" t="str">
        <v>10</v>
      </c>
      <c r="D203" s="26" t="str">
        <v>Chemical Processing Equipment</v>
      </c>
      <c r="E203" s="26" t="str">
        <v>00.10</v>
      </c>
      <c r="F203" s="40" t="str">
        <v>مواد بناء ومواد اخرى</v>
      </c>
      <c r="G203" s="26" t="str">
        <v>Building Materials and Others</v>
      </c>
      <c r="H203" s="26" t="str">
        <v>18</v>
      </c>
      <c r="I203" s="26" t="str">
        <v>41 10 00.1018</v>
      </c>
      <c r="J203" s="26" t="str">
        <v>كرتونه مسمار 6سم</v>
      </c>
      <c r="K203" s="26" t="str">
        <v>Nail Carton 6 cm</v>
      </c>
      <c r="L203" s="26">
        <v>0</v>
      </c>
    </row>
    <row r="204" spans="1:12" ht="30" x14ac:dyDescent="0.25">
      <c r="A204" s="61" t="str">
        <v>41</v>
      </c>
      <c r="B204" s="26" t="str">
        <v>Material Processing and Handling Equipment</v>
      </c>
      <c r="C204" s="26" t="str">
        <v>10</v>
      </c>
      <c r="D204" s="26" t="str">
        <v>Chemical Processing Equipment</v>
      </c>
      <c r="E204" s="26" t="str">
        <v>00.10</v>
      </c>
      <c r="F204" s="40" t="str">
        <v>مواد بناء ومواد اخرى</v>
      </c>
      <c r="G204" s="26" t="str">
        <v>Building Materials and Others</v>
      </c>
      <c r="H204" s="26" t="str">
        <v>19</v>
      </c>
      <c r="I204" s="26" t="str">
        <v>41 10 00.1019</v>
      </c>
      <c r="J204" s="26" t="str">
        <v>بنطه تخريم 18مم</v>
      </c>
      <c r="K204" s="26" t="str">
        <v>Drilling Bit 18 mm</v>
      </c>
      <c r="L204" s="26">
        <v>0</v>
      </c>
    </row>
    <row r="205" spans="1:12" ht="30" x14ac:dyDescent="0.25">
      <c r="A205" s="61" t="str">
        <v>41</v>
      </c>
      <c r="B205" s="26" t="str">
        <v>Material Processing and Handling Equipment</v>
      </c>
      <c r="C205" s="26" t="str">
        <v>10</v>
      </c>
      <c r="D205" s="26" t="str">
        <v>Chemical Processing Equipment</v>
      </c>
      <c r="E205" s="26" t="str">
        <v>00.10</v>
      </c>
      <c r="F205" s="40" t="str">
        <v>مواد بناء ومواد اخرى</v>
      </c>
      <c r="G205" s="26" t="str">
        <v>Building Materials and Others</v>
      </c>
      <c r="H205" s="26" t="str">
        <v>20</v>
      </c>
      <c r="I205" s="26" t="str">
        <v>41 10 00.1020</v>
      </c>
      <c r="J205" s="26" t="str">
        <v>ماده تزريع Soma R:X</v>
      </c>
      <c r="K205" s="26" t="str">
        <v>Anchor Material Soma R:X</v>
      </c>
      <c r="L205" s="26">
        <v>0</v>
      </c>
    </row>
    <row r="206" spans="1:12" ht="30" x14ac:dyDescent="0.25">
      <c r="A206" s="61" t="str">
        <v>41</v>
      </c>
      <c r="B206" s="26" t="str">
        <v>Material Processing and Handling Equipment</v>
      </c>
      <c r="C206" s="26" t="str">
        <v>10</v>
      </c>
      <c r="D206" s="26" t="str">
        <v>Chemical Processing Equipment</v>
      </c>
      <c r="E206" s="26" t="str">
        <v>00.10</v>
      </c>
      <c r="F206" s="40" t="str">
        <v>مواد بناء ومواد اخرى</v>
      </c>
      <c r="G206" s="26" t="str">
        <v>Building Materials and Others</v>
      </c>
      <c r="H206" s="26" t="str">
        <v>22</v>
      </c>
      <c r="I206" s="26" t="str">
        <v>41 10 00.1022</v>
      </c>
      <c r="J206" s="26" t="str">
        <v>ملازم 1.2م</v>
      </c>
      <c r="K206" s="26" t="str">
        <v>Binding 1.2 m</v>
      </c>
      <c r="L206" s="26">
        <v>0</v>
      </c>
    </row>
    <row r="207" spans="1:12" ht="30" x14ac:dyDescent="0.25">
      <c r="A207" s="61" t="str">
        <v>41</v>
      </c>
      <c r="B207" s="26" t="str">
        <v>Material Processing and Handling Equipment</v>
      </c>
      <c r="C207" s="26" t="str">
        <v>10</v>
      </c>
      <c r="D207" s="26" t="str">
        <v>Chemical Processing Equipment</v>
      </c>
      <c r="E207" s="26" t="str">
        <v>00.10</v>
      </c>
      <c r="F207" s="40" t="str">
        <v>مواد بناء ومواد اخرى</v>
      </c>
      <c r="G207" s="26" t="str">
        <v>Building Materials and Others</v>
      </c>
      <c r="H207" s="26" t="str">
        <v>23</v>
      </c>
      <c r="I207" s="26" t="str">
        <v>41 10 00.1023</v>
      </c>
      <c r="J207" s="26" t="str">
        <v>ملازم 80سم</v>
      </c>
      <c r="K207" s="26" t="str">
        <v>Binding 80 cm</v>
      </c>
      <c r="L207" s="26">
        <v>0</v>
      </c>
    </row>
    <row r="208" spans="1:12" ht="30" x14ac:dyDescent="0.25">
      <c r="A208" s="61" t="str">
        <v>41</v>
      </c>
      <c r="B208" s="26" t="str">
        <v>Material Processing and Handling Equipment</v>
      </c>
      <c r="C208" s="26" t="str">
        <v>10</v>
      </c>
      <c r="D208" s="26" t="str">
        <v>Chemical Processing Equipment</v>
      </c>
      <c r="E208" s="26" t="str">
        <v>00.10</v>
      </c>
      <c r="F208" s="40" t="str">
        <v>مواد بناء ومواد اخرى</v>
      </c>
      <c r="G208" s="26" t="str">
        <v>Building Materials and Others</v>
      </c>
      <c r="H208" s="26" t="str">
        <v>24</v>
      </c>
      <c r="I208" s="26" t="str">
        <v>41 10 00.1024</v>
      </c>
      <c r="J208" s="26" t="str">
        <v>كزلك قدم</v>
      </c>
      <c r="K208" s="26" t="str">
        <v>Foot Lever</v>
      </c>
      <c r="L208" s="26">
        <v>0</v>
      </c>
    </row>
    <row r="209" spans="1:12" ht="30" x14ac:dyDescent="0.25">
      <c r="A209" s="61" t="str">
        <v>41</v>
      </c>
      <c r="B209" s="26" t="str">
        <v>Material Processing and Handling Equipment</v>
      </c>
      <c r="C209" s="26" t="str">
        <v>10</v>
      </c>
      <c r="D209" s="26" t="str">
        <v>Chemical Processing Equipment</v>
      </c>
      <c r="E209" s="26" t="str">
        <v>00.10</v>
      </c>
      <c r="F209" s="40" t="str">
        <v>مواد بناء ومواد اخرى</v>
      </c>
      <c r="G209" s="26" t="str">
        <v>Building Materials and Others</v>
      </c>
      <c r="H209" s="26" t="str">
        <v>25</v>
      </c>
      <c r="I209" s="26" t="str">
        <v>41 10 00.1025</v>
      </c>
      <c r="J209" s="26" t="str">
        <v>شوكه سحب خرسانه</v>
      </c>
      <c r="K209" s="26" t="str">
        <v>Concrete Pulling Fork</v>
      </c>
      <c r="L209" s="26">
        <v>0</v>
      </c>
    </row>
    <row r="210" spans="1:12" ht="30" x14ac:dyDescent="0.25">
      <c r="A210" s="61" t="str">
        <v>41</v>
      </c>
      <c r="B210" s="26" t="str">
        <v>Material Processing and Handling Equipment</v>
      </c>
      <c r="C210" s="26" t="str">
        <v>10</v>
      </c>
      <c r="D210" s="26" t="str">
        <v>Chemical Processing Equipment</v>
      </c>
      <c r="E210" s="26" t="str">
        <v>00.10</v>
      </c>
      <c r="F210" s="40" t="str">
        <v>مواد بناء ومواد اخرى</v>
      </c>
      <c r="G210" s="26" t="str">
        <v>Building Materials and Others</v>
      </c>
      <c r="H210" s="26" t="str">
        <v>26</v>
      </c>
      <c r="I210" s="26" t="str">
        <v>41 10 00.1026</v>
      </c>
      <c r="J210" s="26" t="str">
        <v>شيول</v>
      </c>
      <c r="K210" s="26" t="str">
        <v>Shovel</v>
      </c>
      <c r="L210" s="26">
        <v>0</v>
      </c>
    </row>
    <row r="211" spans="1:12" ht="30" x14ac:dyDescent="0.25">
      <c r="A211" s="61" t="str">
        <v>41</v>
      </c>
      <c r="B211" s="26" t="str">
        <v>Material Processing and Handling Equipment</v>
      </c>
      <c r="C211" s="26" t="str">
        <v>10</v>
      </c>
      <c r="D211" s="26" t="str">
        <v>Chemical Processing Equipment</v>
      </c>
      <c r="E211" s="26" t="str">
        <v>00.10</v>
      </c>
      <c r="F211" s="40" t="str">
        <v>مواد بناء ومواد اخرى</v>
      </c>
      <c r="G211" s="26" t="str">
        <v>Building Materials and Others</v>
      </c>
      <c r="H211" s="26" t="str">
        <v>27</v>
      </c>
      <c r="I211" s="26" t="str">
        <v>41 10 00.1027</v>
      </c>
      <c r="J211" s="26" t="str">
        <v>منشار كهرباء</v>
      </c>
      <c r="K211" s="26" t="str">
        <v>Electric Saw</v>
      </c>
      <c r="L211" s="26">
        <v>0</v>
      </c>
    </row>
    <row r="212" spans="1:12" ht="30" x14ac:dyDescent="0.25">
      <c r="A212" s="61" t="str">
        <v>41</v>
      </c>
      <c r="B212" s="26" t="str">
        <v>Material Processing and Handling Equipment</v>
      </c>
      <c r="C212" s="26" t="str">
        <v>10</v>
      </c>
      <c r="D212" s="26" t="str">
        <v>Chemical Processing Equipment</v>
      </c>
      <c r="E212" s="26" t="str">
        <v>00.10</v>
      </c>
      <c r="F212" s="40" t="str">
        <v>مواد بناء ومواد اخرى</v>
      </c>
      <c r="G212" s="26" t="str">
        <v>Building Materials and Others</v>
      </c>
      <c r="H212" s="26" t="str">
        <v>28</v>
      </c>
      <c r="I212" s="26" t="str">
        <v>41 10 00.1028</v>
      </c>
      <c r="J212" s="26" t="str">
        <v>دريل</v>
      </c>
      <c r="K212" s="26" t="str">
        <v>Drill</v>
      </c>
      <c r="L212" s="26">
        <v>0</v>
      </c>
    </row>
    <row r="213" spans="1:12" ht="30" x14ac:dyDescent="0.25">
      <c r="A213" s="61" t="str">
        <v>41</v>
      </c>
      <c r="B213" s="26" t="str">
        <v>Material Processing and Handling Equipment</v>
      </c>
      <c r="C213" s="26" t="str">
        <v>10</v>
      </c>
      <c r="D213" s="26" t="str">
        <v>Chemical Processing Equipment</v>
      </c>
      <c r="E213" s="26" t="str">
        <v>00.10</v>
      </c>
      <c r="F213" s="40" t="str">
        <v>مواد بناء ومواد اخرى</v>
      </c>
      <c r="G213" s="26" t="str">
        <v>Building Materials and Others</v>
      </c>
      <c r="H213" s="26" t="str">
        <v>29</v>
      </c>
      <c r="I213" s="26" t="str">
        <v>41 10 00.1029</v>
      </c>
      <c r="J213" s="26" t="str">
        <v>مكنه زراجين</v>
      </c>
      <c r="K213" s="26" t="str">
        <v>Fastening Machine</v>
      </c>
      <c r="L213" s="26">
        <v>0</v>
      </c>
    </row>
    <row r="214" spans="1:12" ht="30" x14ac:dyDescent="0.25">
      <c r="A214" s="61" t="str">
        <v>41</v>
      </c>
      <c r="B214" s="26" t="str">
        <v>Material Processing and Handling Equipment</v>
      </c>
      <c r="C214" s="26" t="str">
        <v>10</v>
      </c>
      <c r="D214" s="26" t="str">
        <v>Chemical Processing Equipment</v>
      </c>
      <c r="E214" s="26" t="str">
        <v>00.10</v>
      </c>
      <c r="F214" s="40" t="str">
        <v>مواد بناء ومواد اخرى</v>
      </c>
      <c r="G214" s="26" t="str">
        <v>Building Materials and Others</v>
      </c>
      <c r="H214" s="26" t="str">
        <v>30</v>
      </c>
      <c r="I214" s="26" t="str">
        <v>41 10 00.1030</v>
      </c>
      <c r="J214" s="26" t="str">
        <v>جلافز</v>
      </c>
      <c r="K214" s="26" t="str">
        <v>Gloves</v>
      </c>
      <c r="L214" s="26">
        <v>0</v>
      </c>
    </row>
    <row r="215" spans="1:12" ht="30" x14ac:dyDescent="0.25">
      <c r="A215" s="61" t="str">
        <v>41</v>
      </c>
      <c r="B215" s="26" t="str">
        <v>Material Processing and Handling Equipment</v>
      </c>
      <c r="C215" s="26" t="str">
        <v>10</v>
      </c>
      <c r="D215" s="26" t="str">
        <v>Chemical Processing Equipment</v>
      </c>
      <c r="E215" s="26" t="str">
        <v>00.10</v>
      </c>
      <c r="F215" s="40" t="str">
        <v>مواد بناء ومواد اخرى</v>
      </c>
      <c r="G215" s="26" t="str">
        <v>Building Materials and Others</v>
      </c>
      <c r="H215" s="26" t="str">
        <v>31</v>
      </c>
      <c r="I215" s="26" t="str">
        <v>41 10 00.1031</v>
      </c>
      <c r="J215" s="26" t="str">
        <v>ميزان خرطوم</v>
      </c>
      <c r="K215" s="26" t="str">
        <v>Hose Level</v>
      </c>
      <c r="L215" s="26">
        <v>0</v>
      </c>
    </row>
    <row r="216" spans="1:12" ht="30" x14ac:dyDescent="0.25">
      <c r="A216" s="61" t="str">
        <v>41</v>
      </c>
      <c r="B216" s="26" t="str">
        <v>Material Processing and Handling Equipment</v>
      </c>
      <c r="C216" s="26" t="str">
        <v>10</v>
      </c>
      <c r="D216" s="26" t="str">
        <v>Chemical Processing Equipment</v>
      </c>
      <c r="E216" s="26" t="str">
        <v>00.10</v>
      </c>
      <c r="F216" s="40" t="str">
        <v>مواد بناء ومواد اخرى</v>
      </c>
      <c r="G216" s="26" t="str">
        <v>Building Materials and Others</v>
      </c>
      <c r="H216" s="26" t="str">
        <v>32</v>
      </c>
      <c r="I216" s="26" t="str">
        <v>41 10 00.1032</v>
      </c>
      <c r="J216" s="26" t="str">
        <v>ورده زرجينه</v>
      </c>
      <c r="K216" s="26" t="str">
        <v>Fastening Rose</v>
      </c>
      <c r="L216" s="26">
        <v>0</v>
      </c>
    </row>
    <row r="217" spans="1:12" ht="30" x14ac:dyDescent="0.25">
      <c r="A217" s="61" t="str">
        <v>41</v>
      </c>
      <c r="B217" s="26" t="str">
        <v>Material Processing and Handling Equipment</v>
      </c>
      <c r="C217" s="26" t="str">
        <v>10</v>
      </c>
      <c r="D217" s="26" t="str">
        <v>Chemical Processing Equipment</v>
      </c>
      <c r="E217" s="26" t="str">
        <v>00.10</v>
      </c>
      <c r="F217" s="40" t="str">
        <v>مواد بناء ومواد اخرى</v>
      </c>
      <c r="G217" s="26" t="str">
        <v>Building Materials and Others</v>
      </c>
      <c r="H217" s="26" t="str">
        <v>33</v>
      </c>
      <c r="I217" s="26" t="str">
        <v>41 10 00.1033</v>
      </c>
      <c r="J217" s="26" t="str">
        <v>عصفوره زرجينه</v>
      </c>
      <c r="K217" s="26" t="str">
        <v>Fastening Bird</v>
      </c>
      <c r="L217" s="26">
        <v>0</v>
      </c>
    </row>
    <row r="218" spans="1:12" ht="30" x14ac:dyDescent="0.25">
      <c r="A218" s="61" t="str">
        <v>41</v>
      </c>
      <c r="B218" s="26" t="str">
        <v>Material Processing and Handling Equipment</v>
      </c>
      <c r="C218" s="26" t="str">
        <v>10</v>
      </c>
      <c r="D218" s="26" t="str">
        <v>Chemical Processing Equipment</v>
      </c>
      <c r="E218" s="26" t="str">
        <v>00.10</v>
      </c>
      <c r="F218" s="40" t="str">
        <v>مواد بناء ومواد اخرى</v>
      </c>
      <c r="G218" s="26" t="str">
        <v>Building Materials and Others</v>
      </c>
      <c r="H218" s="26" t="str">
        <v>34</v>
      </c>
      <c r="I218" s="26" t="str">
        <v>41 10 00.1034</v>
      </c>
      <c r="J218" s="26" t="str">
        <v>ميزان مياه</v>
      </c>
      <c r="K218" s="26" t="str">
        <v>Water Level</v>
      </c>
      <c r="L218" s="26">
        <v>0</v>
      </c>
    </row>
    <row r="219" spans="1:12" ht="30" x14ac:dyDescent="0.25">
      <c r="A219" s="61" t="str">
        <v>41</v>
      </c>
      <c r="B219" s="26" t="str">
        <v>Material Processing and Handling Equipment</v>
      </c>
      <c r="C219" s="26" t="str">
        <v>10</v>
      </c>
      <c r="D219" s="26" t="str">
        <v>Chemical Processing Equipment</v>
      </c>
      <c r="E219" s="26" t="str">
        <v>00.10</v>
      </c>
      <c r="F219" s="40" t="str">
        <v>مواد بناء ومواد اخرى</v>
      </c>
      <c r="G219" s="26" t="str">
        <v>Building Materials and Others</v>
      </c>
      <c r="H219" s="26" t="str">
        <v>35</v>
      </c>
      <c r="I219" s="26" t="str">
        <v>41 10 00.1035</v>
      </c>
      <c r="J219" s="26" t="str">
        <v>بنطه خشب ريشه</v>
      </c>
      <c r="K219" s="26" t="str">
        <v>Wood Feather Bit</v>
      </c>
      <c r="L219" s="26">
        <v>0</v>
      </c>
    </row>
    <row r="220" spans="1:12" ht="30" x14ac:dyDescent="0.25">
      <c r="A220" s="61" t="str">
        <v>41</v>
      </c>
      <c r="B220" s="26" t="str">
        <v>Material Processing and Handling Equipment</v>
      </c>
      <c r="C220" s="26" t="str">
        <v>10</v>
      </c>
      <c r="D220" s="26" t="str">
        <v>Chemical Processing Equipment</v>
      </c>
      <c r="E220" s="26" t="str">
        <v>00.10</v>
      </c>
      <c r="F220" s="40" t="str">
        <v>مواد بناء ومواد اخرى</v>
      </c>
      <c r="G220" s="21" t="str">
        <v>Building Materials and Others</v>
      </c>
      <c r="H220" s="21" t="str">
        <v>36</v>
      </c>
      <c r="I220" s="21" t="str">
        <v>41 10 00.1036</v>
      </c>
      <c r="J220" s="21" t="str">
        <v>ورد مسامير + طلقات مسمار</v>
      </c>
      <c r="K220" s="21" t="str">
        <v>Nail Rose + Nail Cartridges</v>
      </c>
      <c r="L220" s="21">
        <v>0</v>
      </c>
    </row>
    <row r="221" spans="1:12" ht="30" x14ac:dyDescent="0.25">
      <c r="A221" s="61" t="str">
        <v>41</v>
      </c>
      <c r="B221" s="26" t="str">
        <v>Material Processing and Handling Equipment</v>
      </c>
      <c r="C221" s="26" t="str">
        <v>10</v>
      </c>
      <c r="D221" s="26" t="str">
        <v>Chemical Processing Equipment</v>
      </c>
      <c r="E221" s="26" t="str">
        <v>00.10</v>
      </c>
      <c r="F221" s="40" t="str">
        <v>مواد بناء ومواد اخرى</v>
      </c>
      <c r="G221" s="21" t="str">
        <v>Building Materials and Others</v>
      </c>
      <c r="H221" s="21" t="str">
        <v>37</v>
      </c>
      <c r="I221" s="21" t="str">
        <v>41 10 00.1037</v>
      </c>
      <c r="J221" s="21" t="str">
        <v>بنطه تخريم 25 مم</v>
      </c>
      <c r="K221" s="21" t="str">
        <v>Drilling Bit 25 mm</v>
      </c>
      <c r="L221" s="21">
        <v>0</v>
      </c>
    </row>
    <row r="222" spans="1:12" ht="30" x14ac:dyDescent="0.25">
      <c r="A222" s="61" t="str">
        <v>41</v>
      </c>
      <c r="B222" s="26" t="str">
        <v>Material Processing and Handling Equipment</v>
      </c>
      <c r="C222" s="26" t="str">
        <v>10</v>
      </c>
      <c r="D222" s="26" t="str">
        <v>Chemical Processing Equipment</v>
      </c>
      <c r="E222" s="26" t="str">
        <v>00.10</v>
      </c>
      <c r="F222" s="40" t="str">
        <v>مواد بناء ومواد اخرى</v>
      </c>
      <c r="G222" s="21" t="str">
        <v>Building Materials and Others</v>
      </c>
      <c r="H222" s="21" t="str">
        <v>38</v>
      </c>
      <c r="I222" s="21" t="str">
        <v>41 10 00.1038</v>
      </c>
      <c r="J222" s="21" t="str">
        <v>خرطوم تايرود</v>
      </c>
      <c r="K222" s="21" t="str">
        <v>Tie Rod Hose</v>
      </c>
      <c r="L222" s="21">
        <v>0</v>
      </c>
    </row>
    <row r="223" spans="1:12" ht="30" x14ac:dyDescent="0.25">
      <c r="A223" s="30" t="str">
        <v>41</v>
      </c>
      <c r="B223" s="21" t="str">
        <v>Material Processing and Handling Equipment</v>
      </c>
      <c r="C223" s="21" t="str">
        <v>10</v>
      </c>
      <c r="D223" s="21" t="str">
        <v>Chemical Processing Equipment</v>
      </c>
      <c r="E223" s="21" t="str">
        <v>00.10</v>
      </c>
      <c r="F223" s="34" t="str">
        <v>مواد بناء ومواد اخرى</v>
      </c>
      <c r="G223" s="21" t="str">
        <v>Building Materials and Others</v>
      </c>
      <c r="H223" s="21" t="str">
        <v>39</v>
      </c>
      <c r="I223" s="21" t="str">
        <v>41 10 00.1039</v>
      </c>
      <c r="J223" s="21" t="str">
        <v>كوريك</v>
      </c>
      <c r="K223" s="21" t="str">
        <v>Car Jack</v>
      </c>
      <c r="L223" s="21">
        <v>0</v>
      </c>
    </row>
    <row r="224" spans="1:12" ht="30" x14ac:dyDescent="0.25">
      <c r="A224" s="30" t="str">
        <v>41</v>
      </c>
      <c r="B224" s="21" t="str">
        <v>Material Processing and Handling Equipment</v>
      </c>
      <c r="C224" s="21" t="str">
        <v>10</v>
      </c>
      <c r="D224" s="21" t="str">
        <v>Chemical Processing Equipment</v>
      </c>
      <c r="E224" s="21" t="str">
        <v>00.10</v>
      </c>
      <c r="F224" s="34" t="str">
        <v>مواد بناء ومواد اخرى</v>
      </c>
      <c r="G224" s="21" t="str">
        <v>Building Materials and Others</v>
      </c>
      <c r="H224" s="21" t="str">
        <v>40</v>
      </c>
      <c r="I224" s="21" t="str">
        <v>41 10 00.1040</v>
      </c>
      <c r="J224" s="21" t="str">
        <v>بنطه خشب 32</v>
      </c>
      <c r="K224" s="21" t="str">
        <v>Wood Bit 32</v>
      </c>
      <c r="L224" s="21">
        <v>0</v>
      </c>
    </row>
    <row r="225" spans="1:12" ht="30" x14ac:dyDescent="0.25">
      <c r="A225" s="30" t="str">
        <v>41</v>
      </c>
      <c r="B225" s="21" t="str">
        <v>Material Processing and Handling Equipment</v>
      </c>
      <c r="C225" s="21" t="str">
        <v>10</v>
      </c>
      <c r="D225" s="21" t="str">
        <v>Chemical Processing Equipment</v>
      </c>
      <c r="E225" s="21" t="str">
        <v>00.10</v>
      </c>
      <c r="F225" s="34" t="str">
        <v>مواد بناء ومواد اخرى</v>
      </c>
      <c r="G225" s="21" t="str">
        <v>Building Materials and Others</v>
      </c>
      <c r="H225" s="21" t="str">
        <v>41</v>
      </c>
      <c r="I225" s="21" t="str">
        <v>41 10 00.1041</v>
      </c>
      <c r="J225" s="21" t="str">
        <v>اسطوانه صاروخ خرسانه 5 بوصه</v>
      </c>
      <c r="K225" s="21" t="str">
        <v>Concrete Rocket Cylinder 5 inch</v>
      </c>
      <c r="L225" s="21">
        <v>0</v>
      </c>
    </row>
    <row r="226" spans="1:12" ht="30" x14ac:dyDescent="0.25">
      <c r="A226" s="30" t="str">
        <v>41</v>
      </c>
      <c r="B226" s="21" t="str">
        <v>Material Processing and Handling Equipment</v>
      </c>
      <c r="C226" s="21" t="str">
        <v>10</v>
      </c>
      <c r="D226" s="21" t="str">
        <v>Chemical Processing Equipment</v>
      </c>
      <c r="E226" s="21" t="str">
        <v>00.10</v>
      </c>
      <c r="F226" s="34" t="str">
        <v>مواد بناء ومواد اخرى</v>
      </c>
      <c r="G226" s="21" t="str">
        <v>Building Materials and Others</v>
      </c>
      <c r="H226" s="21" t="str">
        <v>42</v>
      </c>
      <c r="I226" s="21" t="str">
        <v>41 10 00.1042</v>
      </c>
      <c r="J226" s="21" t="str">
        <v>زيت</v>
      </c>
      <c r="K226" s="21" t="str">
        <v>Oil</v>
      </c>
      <c r="L226" s="21">
        <v>0</v>
      </c>
    </row>
    <row r="227" spans="1:12" ht="30" x14ac:dyDescent="0.25">
      <c r="A227" s="30" t="str">
        <v>41</v>
      </c>
      <c r="B227" s="21" t="str">
        <v>Material Processing and Handling Equipment</v>
      </c>
      <c r="C227" s="21" t="str">
        <v>10</v>
      </c>
      <c r="D227" s="21" t="str">
        <v>Chemical Processing Equipment</v>
      </c>
      <c r="E227" s="21" t="str">
        <v>00.10</v>
      </c>
      <c r="F227" s="34" t="str">
        <v>مواد بناء ومواد اخرى</v>
      </c>
      <c r="G227" s="21" t="str">
        <v>Building Materials and Others</v>
      </c>
      <c r="H227" s="21" t="str">
        <v>43</v>
      </c>
      <c r="I227" s="21" t="str">
        <v>41 10 00.1043</v>
      </c>
      <c r="J227" s="21" t="str">
        <v>كرتونه مسمار 7 سم</v>
      </c>
      <c r="K227" s="21" t="str">
        <v>Nail Carton 7 cm</v>
      </c>
      <c r="L227" s="21">
        <v>0</v>
      </c>
    </row>
    <row r="228" spans="1:12" ht="30" x14ac:dyDescent="0.25">
      <c r="A228" s="30" t="str">
        <v>41</v>
      </c>
      <c r="B228" s="21" t="str">
        <v>Material Processing and Handling Equipment</v>
      </c>
      <c r="C228" s="21" t="str">
        <v>10</v>
      </c>
      <c r="D228" s="21" t="str">
        <v>Chemical Processing Equipment</v>
      </c>
      <c r="E228" s="21" t="str">
        <v>00.10</v>
      </c>
      <c r="F228" s="34" t="str">
        <v>مواد بناء ومواد اخرى</v>
      </c>
      <c r="G228" s="21" t="str">
        <v>Building Materials and Others</v>
      </c>
      <c r="H228" s="21" t="str">
        <v>44</v>
      </c>
      <c r="I228" s="21" t="str">
        <v>41 10 00.1044</v>
      </c>
      <c r="J228" s="21" t="str">
        <v>خيط شداد 6سم</v>
      </c>
      <c r="K228" s="21" t="str">
        <v>Thread 6 cm</v>
      </c>
      <c r="L228" s="21">
        <v>0</v>
      </c>
    </row>
    <row r="229" spans="1:12" ht="30" x14ac:dyDescent="0.25">
      <c r="A229" s="30" t="str">
        <v>41</v>
      </c>
      <c r="B229" s="21" t="str">
        <v>Material Processing and Handling Equipment</v>
      </c>
      <c r="C229" s="21" t="str">
        <v>10</v>
      </c>
      <c r="D229" s="21" t="str">
        <v>Chemical Processing Equipment</v>
      </c>
      <c r="E229" s="21" t="str">
        <v>00.10</v>
      </c>
      <c r="F229" s="34" t="str">
        <v>مواد بناء ومواد اخرى</v>
      </c>
      <c r="G229" s="21" t="str">
        <v>Building Materials and Others</v>
      </c>
      <c r="H229" s="21" t="str">
        <v>45</v>
      </c>
      <c r="I229" s="21" t="str">
        <v>41 10 00.1045</v>
      </c>
      <c r="J229" s="21" t="str">
        <v>بنطه حدادى 6مم</v>
      </c>
      <c r="K229" s="21" t="str">
        <v>Iron Bit 6 mm</v>
      </c>
      <c r="L229" s="21">
        <v>0</v>
      </c>
    </row>
    <row r="230" spans="1:12" ht="30" x14ac:dyDescent="0.25">
      <c r="A230" s="30" t="str">
        <v>41</v>
      </c>
      <c r="B230" s="21" t="str">
        <v>Material Processing and Handling Equipment</v>
      </c>
      <c r="C230" s="21" t="str">
        <v>10</v>
      </c>
      <c r="D230" s="21" t="str">
        <v>Chemical Processing Equipment</v>
      </c>
      <c r="E230" s="21" t="str">
        <v>00.10</v>
      </c>
      <c r="F230" s="34" t="str">
        <v>مواد بناء ومواد اخرى</v>
      </c>
      <c r="G230" s="21" t="str">
        <v>Building Materials and Others</v>
      </c>
      <c r="H230" s="21" t="str">
        <v>46</v>
      </c>
      <c r="I230" s="21" t="str">
        <v>41 10 00.1046</v>
      </c>
      <c r="J230" s="21" t="str">
        <v>تربال</v>
      </c>
      <c r="K230" s="21" t="str">
        <v>Leveling Tool</v>
      </c>
      <c r="L230" s="21">
        <v>0</v>
      </c>
    </row>
    <row r="231" spans="1:12" ht="30" x14ac:dyDescent="0.25">
      <c r="A231" s="30" t="str">
        <v>41</v>
      </c>
      <c r="B231" s="21" t="str">
        <v>Material Processing and Handling Equipment</v>
      </c>
      <c r="C231" s="21" t="str">
        <v>10</v>
      </c>
      <c r="D231" s="21" t="str">
        <v>Chemical Processing Equipment</v>
      </c>
      <c r="E231" s="21" t="str">
        <v>00.10</v>
      </c>
      <c r="F231" s="34" t="str">
        <v>مواد بناء ومواد اخرى</v>
      </c>
      <c r="G231" s="21" t="str">
        <v>Building Materials and Others</v>
      </c>
      <c r="H231" s="21" t="str">
        <v>47</v>
      </c>
      <c r="I231" s="21" t="str">
        <v>41 10 00.1047</v>
      </c>
      <c r="J231" s="21" t="str">
        <v>بنطه تزريع 12 مم</v>
      </c>
      <c r="K231" s="21" t="str">
        <v>Anchor Bit 12 mm</v>
      </c>
      <c r="L231" s="21">
        <v>0</v>
      </c>
    </row>
    <row r="232" spans="1:12" ht="30" x14ac:dyDescent="0.25">
      <c r="A232" s="30" t="str">
        <v>41</v>
      </c>
      <c r="B232" s="21" t="str">
        <v>Material Processing and Handling Equipment</v>
      </c>
      <c r="C232" s="21" t="str">
        <v>10</v>
      </c>
      <c r="D232" s="21" t="str">
        <v>Chemical Processing Equipment</v>
      </c>
      <c r="E232" s="21" t="str">
        <v>00.10</v>
      </c>
      <c r="F232" s="34" t="str">
        <v>مواد بناء ومواد اخرى</v>
      </c>
      <c r="G232" s="21" t="str">
        <v>Building Materials and Others</v>
      </c>
      <c r="H232" s="21" t="str">
        <v>48</v>
      </c>
      <c r="I232" s="21" t="str">
        <v>41 10 00.1048</v>
      </c>
      <c r="J232" s="21" t="str">
        <v>سطل</v>
      </c>
      <c r="K232" s="21" t="str">
        <v>Bucket</v>
      </c>
      <c r="L232" s="21">
        <v>0</v>
      </c>
    </row>
    <row r="233" spans="1:12" ht="30" x14ac:dyDescent="0.25">
      <c r="A233" s="30" t="str">
        <v>41</v>
      </c>
      <c r="B233" s="21" t="str">
        <v>Material Processing and Handling Equipment</v>
      </c>
      <c r="C233" s="21" t="str">
        <v>10</v>
      </c>
      <c r="D233" s="21" t="str">
        <v>Chemical Processing Equipment</v>
      </c>
      <c r="E233" s="21" t="str">
        <v>00.10</v>
      </c>
      <c r="F233" s="34" t="str">
        <v>مواد بناء ومواد اخرى</v>
      </c>
      <c r="G233" s="21" t="str">
        <v>Building Materials and Others</v>
      </c>
      <c r="H233" s="21" t="str">
        <v>49</v>
      </c>
      <c r="I233" s="31" t="str">
        <v>41 10 00.1049</v>
      </c>
      <c r="J233" s="31" t="str">
        <v>مسطرين</v>
      </c>
      <c r="K233" s="21" t="str">
        <v>Trowel</v>
      </c>
      <c r="L233" s="21">
        <v>0</v>
      </c>
    </row>
    <row r="234" spans="1:12" ht="30" x14ac:dyDescent="0.25">
      <c r="A234" s="30" t="str">
        <v>41</v>
      </c>
      <c r="B234" s="21" t="str">
        <v>Material Processing and Handling Equipment</v>
      </c>
      <c r="C234" s="21" t="str">
        <v>10</v>
      </c>
      <c r="D234" s="21" t="str">
        <v>Chemical Processing Equipment</v>
      </c>
      <c r="E234" s="21" t="str">
        <v>00.10</v>
      </c>
      <c r="F234" s="34" t="str">
        <v>مواد بناء ومواد اخرى</v>
      </c>
      <c r="G234" s="21" t="str">
        <v>Building Materials and Others</v>
      </c>
      <c r="H234" s="21" t="str">
        <v>50</v>
      </c>
      <c r="I234" s="21" t="str">
        <v>41 10 00.1050</v>
      </c>
      <c r="J234" s="21" t="str">
        <v>ديزل</v>
      </c>
      <c r="K234" s="21" t="str">
        <v>Diesel</v>
      </c>
      <c r="L234" s="21">
        <v>0</v>
      </c>
    </row>
    <row r="235" spans="1:12" ht="30" x14ac:dyDescent="0.25">
      <c r="A235" s="30" t="str">
        <v>41</v>
      </c>
      <c r="B235" s="21" t="str">
        <v>Material Processing and Handling Equipment</v>
      </c>
      <c r="C235" s="21" t="str">
        <v>10</v>
      </c>
      <c r="D235" s="21" t="str">
        <v>Chemical Processing Equipment</v>
      </c>
      <c r="E235" s="21" t="str">
        <v>00.10</v>
      </c>
      <c r="F235" s="34" t="str">
        <v>مواد بناء ومواد اخرى</v>
      </c>
      <c r="G235" s="21" t="str">
        <v>Building Materials and Others</v>
      </c>
      <c r="H235" s="21" t="str">
        <v>51</v>
      </c>
      <c r="I235" s="21" t="str">
        <v>41 10 00.1051</v>
      </c>
      <c r="J235" s="21" t="str">
        <v>شريط تحذير</v>
      </c>
      <c r="K235" s="21" t="str">
        <v>Warning Tape</v>
      </c>
      <c r="L235" s="21">
        <v>0</v>
      </c>
    </row>
    <row r="236" spans="1:12" ht="30" x14ac:dyDescent="0.25">
      <c r="A236" s="30" t="str">
        <v>41</v>
      </c>
      <c r="B236" s="21" t="str">
        <v>Material Processing and Handling Equipment</v>
      </c>
      <c r="C236" s="21" t="str">
        <v>10</v>
      </c>
      <c r="D236" s="21" t="str">
        <v>Chemical Processing Equipment</v>
      </c>
      <c r="E236" s="21" t="str">
        <v>00.10</v>
      </c>
      <c r="F236" s="34" t="str">
        <v>مواد بناء ومواد اخرى</v>
      </c>
      <c r="G236" s="21" t="str">
        <v>Building Materials and Others</v>
      </c>
      <c r="H236" s="21" t="str">
        <v>52</v>
      </c>
      <c r="I236" s="21" t="str">
        <v>41 10 00.1052</v>
      </c>
      <c r="J236" s="21" t="str">
        <v>متر قياس</v>
      </c>
      <c r="K236" s="21" t="str">
        <v>Measuring Tape</v>
      </c>
      <c r="L236" s="21">
        <v>0</v>
      </c>
    </row>
    <row r="237" spans="1:12" ht="30" x14ac:dyDescent="0.25">
      <c r="A237" s="30" t="str">
        <v>41</v>
      </c>
      <c r="B237" s="21" t="str">
        <v>Material Processing and Handling Equipment</v>
      </c>
      <c r="C237" s="21" t="str">
        <v>10</v>
      </c>
      <c r="D237" s="21" t="str">
        <v>Chemical Processing Equipment</v>
      </c>
      <c r="E237" s="21" t="str">
        <v>00.10</v>
      </c>
      <c r="F237" s="34" t="str">
        <v>مواد بناء ومواد اخرى</v>
      </c>
      <c r="G237" s="21" t="str">
        <v>Building Materials and Others</v>
      </c>
      <c r="H237" s="21" t="str">
        <v>53</v>
      </c>
      <c r="I237" s="21" t="str">
        <v>41 10 00.1053</v>
      </c>
      <c r="J237" s="41" t="str">
        <v>تيب رمادى</v>
      </c>
      <c r="K237" s="21" t="str">
        <v>Gray Tape</v>
      </c>
      <c r="L237" s="21">
        <v>0</v>
      </c>
    </row>
    <row r="238" spans="1:12" ht="30" x14ac:dyDescent="0.25">
      <c r="A238" s="30" t="str">
        <v>41</v>
      </c>
      <c r="B238" s="21" t="str">
        <v>Material Processing and Handling Equipment</v>
      </c>
      <c r="C238" s="21" t="str">
        <v>10</v>
      </c>
      <c r="D238" s="21" t="str">
        <v>Chemical Processing Equipment</v>
      </c>
      <c r="E238" s="21" t="str">
        <v>00.10</v>
      </c>
      <c r="F238" s="34" t="str">
        <v>مواد بناء ومواد اخرى</v>
      </c>
      <c r="G238" s="21" t="str">
        <v>Building Materials and Others</v>
      </c>
      <c r="H238" s="21" t="str">
        <v>56</v>
      </c>
      <c r="I238" s="21" t="str">
        <v>41 10 00.1056</v>
      </c>
      <c r="J238" s="21" t="str">
        <v>تيب ابيض</v>
      </c>
      <c r="K238" s="21" t="str">
        <v>White Tape</v>
      </c>
      <c r="L238" s="21">
        <v>0</v>
      </c>
    </row>
    <row r="239" spans="1:12" x14ac:dyDescent="0.25">
      <c r="A239" s="30" t="str">
        <v>26</v>
      </c>
      <c r="B239" s="21" t="str">
        <v>Electrical</v>
      </c>
      <c r="C239" s="21" t="str">
        <v>05</v>
      </c>
      <c r="D239" s="21" t="str">
        <v>Common Work Results for Electrical</v>
      </c>
      <c r="E239" s="21" t="str">
        <v>00.10</v>
      </c>
      <c r="F239" s="34" t="str">
        <v>مواد كهرباء</v>
      </c>
      <c r="G239" s="21" t="str">
        <v>Electrical Materials</v>
      </c>
      <c r="H239" s="21" t="str">
        <v>01</v>
      </c>
      <c r="I239" s="21" t="str">
        <v>26 05 00.1001</v>
      </c>
      <c r="J239" s="21" t="str">
        <v>بوكس معدن مقاس (7X7X4.7) CM</v>
      </c>
      <c r="K239" s="21" t="str">
        <v>EMT BOX (7X7X4.7) CM</v>
      </c>
      <c r="L239" s="21">
        <v>0</v>
      </c>
    </row>
    <row r="240" spans="1:12" x14ac:dyDescent="0.25">
      <c r="A240" s="30" t="str">
        <v>26</v>
      </c>
      <c r="B240" s="21" t="str">
        <v>Electrical</v>
      </c>
      <c r="C240" s="21" t="str">
        <v>05</v>
      </c>
      <c r="D240" s="21" t="str">
        <v>Common Work Results for Electrical</v>
      </c>
      <c r="E240" s="21" t="str">
        <v>00.10</v>
      </c>
      <c r="F240" s="34" t="str">
        <v>مواد كهرباء</v>
      </c>
      <c r="G240" s="21" t="str">
        <v>Electrical Materials</v>
      </c>
      <c r="H240" s="21" t="str">
        <v>02</v>
      </c>
      <c r="I240" s="21" t="str">
        <v>26 05 00.1002</v>
      </c>
      <c r="J240" s="21" t="str">
        <v>بوكس معدن مقاس (15X15X10) CM</v>
      </c>
      <c r="K240" s="21" t="str">
        <v>EMT BOX (15X15X10) CM</v>
      </c>
      <c r="L240" s="21">
        <v>0</v>
      </c>
    </row>
    <row r="241" spans="1:12" ht="30" x14ac:dyDescent="0.25">
      <c r="A241" s="30" t="str">
        <v>26</v>
      </c>
      <c r="B241" s="21" t="str">
        <v>Electrical</v>
      </c>
      <c r="C241" s="21" t="str">
        <v>05</v>
      </c>
      <c r="D241" s="21" t="str">
        <v>Common Work Results for Electrical</v>
      </c>
      <c r="E241" s="21" t="str">
        <v>00.10</v>
      </c>
      <c r="F241" s="34" t="str">
        <v>مواد كهرباء</v>
      </c>
      <c r="G241" s="21" t="str">
        <v>Electrical Materials</v>
      </c>
      <c r="H241" s="21" t="str">
        <v>03</v>
      </c>
      <c r="I241" s="21" t="str">
        <v>26 05 00.1003</v>
      </c>
      <c r="J241" s="21" t="str">
        <v>ادابتور بلاستيك 32 مم</v>
      </c>
      <c r="K241" s="21" t="str">
        <v>BLACK ADAPTOR
 FEMALE 32 MM</v>
      </c>
      <c r="L241" s="21">
        <v>0</v>
      </c>
    </row>
    <row r="242" spans="1:12" ht="30" x14ac:dyDescent="0.25">
      <c r="A242" s="30" t="str">
        <v>26</v>
      </c>
      <c r="B242" s="21" t="str">
        <v>Electrical</v>
      </c>
      <c r="C242" s="21" t="str">
        <v>05</v>
      </c>
      <c r="D242" s="21" t="str">
        <v>Common Work Results for Electrical</v>
      </c>
      <c r="E242" s="21" t="str">
        <v>00.10</v>
      </c>
      <c r="F242" s="34" t="str">
        <v>مواد كهرباء</v>
      </c>
      <c r="G242" s="21" t="str">
        <v>Electrical Materials</v>
      </c>
      <c r="H242" s="21" t="str">
        <v>04</v>
      </c>
      <c r="I242" s="21" t="str">
        <v>26 05 00.1004</v>
      </c>
      <c r="J242" s="21" t="str">
        <v>ادابتور بلاستيك 50 مم</v>
      </c>
      <c r="K242" s="21" t="str">
        <v>BLACK ADAPTOR
 FEMALE 50 MM</v>
      </c>
      <c r="L242" s="21">
        <v>0</v>
      </c>
    </row>
    <row r="243" spans="1:12" x14ac:dyDescent="0.25">
      <c r="A243" s="30" t="str">
        <v>26</v>
      </c>
      <c r="B243" s="21" t="str">
        <v>Electrical</v>
      </c>
      <c r="C243" s="21" t="str">
        <v>05</v>
      </c>
      <c r="D243" s="21" t="str">
        <v>Common Work Results for Electrical</v>
      </c>
      <c r="E243" s="21" t="str">
        <v>00.10</v>
      </c>
      <c r="F243" s="34" t="str">
        <v>مواد كهرباء</v>
      </c>
      <c r="G243" s="21" t="str">
        <v>Electrical Materials</v>
      </c>
      <c r="H243" s="21" t="str">
        <v>05</v>
      </c>
      <c r="I243" s="21" t="str">
        <v>26 05 00.1005</v>
      </c>
      <c r="J243" s="21" t="str">
        <v>ماسورة 150 مم كلاس 3</v>
      </c>
      <c r="K243" s="21" t="str">
        <v>150 mm CLASS 4 PVC PIPE ,6MTR</v>
      </c>
      <c r="L243" s="21">
        <v>0</v>
      </c>
    </row>
    <row r="244" spans="1:12" x14ac:dyDescent="0.25">
      <c r="A244" s="30" t="str">
        <v>26</v>
      </c>
      <c r="B244" s="21" t="str">
        <v>Electrical</v>
      </c>
      <c r="C244" s="21" t="str">
        <v>05</v>
      </c>
      <c r="D244" s="21" t="str">
        <v>Common Work Results for Electrical</v>
      </c>
      <c r="E244" s="21" t="str">
        <v>00.10</v>
      </c>
      <c r="F244" s="34" t="str">
        <v>مواد كهرباء</v>
      </c>
      <c r="G244" s="21" t="str">
        <v>Electrical Materials</v>
      </c>
      <c r="H244" s="21" t="str">
        <v>06</v>
      </c>
      <c r="I244" s="21" t="str">
        <v>26 05 00.1006</v>
      </c>
      <c r="J244" s="21" t="str">
        <v>ماسورة 32 مم كلاس 3</v>
      </c>
      <c r="K244" s="21" t="str">
        <v>32 mm CLASS 3 PVC PIPE ,6MTR</v>
      </c>
      <c r="L244" s="21">
        <v>0</v>
      </c>
    </row>
    <row r="245" spans="1:12" x14ac:dyDescent="0.25">
      <c r="A245" s="30" t="str">
        <v>26</v>
      </c>
      <c r="B245" s="21" t="str">
        <v>Electrical</v>
      </c>
      <c r="C245" s="21" t="str">
        <v>05</v>
      </c>
      <c r="D245" s="21" t="str">
        <v>Common Work Results for Electrical</v>
      </c>
      <c r="E245" s="21" t="str">
        <v>00.10</v>
      </c>
      <c r="F245" s="34" t="str">
        <v>مواد كهرباء</v>
      </c>
      <c r="G245" s="21" t="str">
        <v>Electrical Materials</v>
      </c>
      <c r="H245" s="21" t="str">
        <v>07</v>
      </c>
      <c r="I245" s="21" t="str">
        <v>26 05 00.1007</v>
      </c>
      <c r="J245" s="21" t="str">
        <v>جلبة مقاس 32 مم2</v>
      </c>
      <c r="K245" s="21" t="str">
        <v>32 mm CLASS 3 PVC COUPLING</v>
      </c>
      <c r="L245" s="21">
        <v>0</v>
      </c>
    </row>
    <row r="246" spans="1:12" x14ac:dyDescent="0.25">
      <c r="A246" s="30" t="str">
        <v>26</v>
      </c>
      <c r="B246" s="21" t="str">
        <v>Electrical</v>
      </c>
      <c r="C246" s="21" t="str">
        <v>05</v>
      </c>
      <c r="D246" s="21" t="str">
        <v>Common Work Results for Electrical</v>
      </c>
      <c r="E246" s="21" t="str">
        <v>00.10</v>
      </c>
      <c r="F246" s="34" t="str">
        <v>مواد كهرباء</v>
      </c>
      <c r="G246" s="21" t="str">
        <v>Electrical Materials</v>
      </c>
      <c r="H246" s="21" t="str">
        <v>08</v>
      </c>
      <c r="I246" s="21" t="str">
        <v>26 05 00.1008</v>
      </c>
      <c r="J246" s="21" t="str">
        <v>كشاف ليد 400 وات</v>
      </c>
      <c r="K246" s="21" t="str">
        <v>LED Floodlight 400W</v>
      </c>
      <c r="L246" s="21">
        <v>0</v>
      </c>
    </row>
    <row r="247" spans="1:12" x14ac:dyDescent="0.25">
      <c r="A247" s="30" t="str">
        <v>26</v>
      </c>
      <c r="B247" s="21" t="str">
        <v>Electrical</v>
      </c>
      <c r="C247" s="21" t="str">
        <v>05</v>
      </c>
      <c r="D247" s="21" t="str">
        <v>Common Work Results for Electrical</v>
      </c>
      <c r="E247" s="21" t="str">
        <v>00.10</v>
      </c>
      <c r="F247" s="34" t="str">
        <v>مواد كهرباء</v>
      </c>
      <c r="G247" s="21" t="str">
        <v>Electrical Materials</v>
      </c>
      <c r="H247" s="21" t="str">
        <v>09</v>
      </c>
      <c r="I247" s="21" t="str">
        <v>26 05 00.1009</v>
      </c>
      <c r="J247" s="21" t="str">
        <v>ماسوره كهرباء 3م</v>
      </c>
      <c r="K247" s="21" t="str">
        <v>Electrical Conduit 3m</v>
      </c>
      <c r="L247" s="21">
        <v>0</v>
      </c>
    </row>
    <row r="248" spans="1:12" x14ac:dyDescent="0.25">
      <c r="A248" s="30" t="str">
        <v>26</v>
      </c>
      <c r="B248" s="21" t="str">
        <v>Electrical</v>
      </c>
      <c r="C248" s="21" t="str">
        <v>05</v>
      </c>
      <c r="D248" s="21" t="str">
        <v>Common Work Results for Electrical</v>
      </c>
      <c r="E248" s="21" t="str">
        <v>00.10</v>
      </c>
      <c r="F248" s="34" t="str">
        <v>مواد كهرباء</v>
      </c>
      <c r="G248" s="21" t="str">
        <v>Electrical Materials</v>
      </c>
      <c r="H248" s="21" t="str">
        <v>10</v>
      </c>
      <c r="I248" s="21" t="str">
        <v>26 05 00.1010</v>
      </c>
      <c r="J248" s="21" t="str">
        <v>قلم ماركر</v>
      </c>
      <c r="K248" s="21" t="str">
        <v>Marker Pen</v>
      </c>
      <c r="L248" s="21">
        <v>0</v>
      </c>
    </row>
    <row r="249" spans="1:12" x14ac:dyDescent="0.25">
      <c r="A249" s="30">
        <v>0</v>
      </c>
      <c r="B249" s="21">
        <v>0</v>
      </c>
      <c r="C249" s="21">
        <v>0</v>
      </c>
      <c r="D249" s="21">
        <v>0</v>
      </c>
      <c r="E249" s="21">
        <v>0</v>
      </c>
      <c r="F249" s="34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</row>
    <row r="250" spans="1:12" x14ac:dyDescent="0.25">
      <c r="A250" s="30" t="str">
        <v>26</v>
      </c>
      <c r="B250" s="21" t="str">
        <v>Electrical</v>
      </c>
      <c r="C250" s="21" t="str">
        <v>05</v>
      </c>
      <c r="D250" s="21" t="str">
        <v>Common Work Results for Electrical</v>
      </c>
      <c r="E250" s="21" t="str">
        <v>00.10</v>
      </c>
      <c r="F250" s="34" t="str">
        <v>مواد كهرباء</v>
      </c>
      <c r="G250" s="21" t="str">
        <v>Electrical Materials</v>
      </c>
      <c r="H250" s="21" t="str">
        <v>12</v>
      </c>
      <c r="I250" s="21" t="str">
        <v>26 05 00.1012</v>
      </c>
      <c r="J250" s="21" t="str">
        <v>اسبريه</v>
      </c>
      <c r="K250" s="21" t="str">
        <v>Wire Ties/Cable Ties</v>
      </c>
      <c r="L250" s="21">
        <v>0</v>
      </c>
    </row>
    <row r="251" spans="1:12" x14ac:dyDescent="0.25">
      <c r="A251" s="30">
        <v>0</v>
      </c>
      <c r="B251" s="21">
        <v>0</v>
      </c>
      <c r="C251" s="21">
        <v>0</v>
      </c>
      <c r="D251" s="21">
        <v>0</v>
      </c>
      <c r="E251" s="21">
        <v>0</v>
      </c>
      <c r="F251" s="34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</row>
    <row r="252" spans="1:12" x14ac:dyDescent="0.25">
      <c r="A252" s="30">
        <v>0</v>
      </c>
      <c r="B252" s="21">
        <v>0</v>
      </c>
      <c r="C252" s="21">
        <v>0</v>
      </c>
      <c r="D252" s="21">
        <v>0</v>
      </c>
      <c r="E252" s="21">
        <v>0</v>
      </c>
      <c r="F252" s="34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</row>
    <row r="253" spans="1:12" x14ac:dyDescent="0.25">
      <c r="A253" s="30" t="str">
        <v>26</v>
      </c>
      <c r="B253" s="21" t="str">
        <v>Electrical</v>
      </c>
      <c r="C253" s="21" t="str">
        <v>05</v>
      </c>
      <c r="D253" s="21" t="str">
        <v>Common Work Results for Electrical</v>
      </c>
      <c r="E253" s="21" t="str">
        <v>00.10</v>
      </c>
      <c r="F253" s="34" t="str">
        <v>مواد كهرباء</v>
      </c>
      <c r="G253" s="21" t="str">
        <v>Electrical Materials</v>
      </c>
      <c r="H253" s="21" t="str">
        <v>15</v>
      </c>
      <c r="I253" s="21" t="str">
        <v>26 05 00.1015</v>
      </c>
      <c r="J253" s="21" t="str">
        <v xml:space="preserve"> لفة خرطوم مقاس 16</v>
      </c>
      <c r="K253" s="21" t="str">
        <v>ORANGE HOSE 16 MM</v>
      </c>
      <c r="L253" s="21">
        <v>0</v>
      </c>
    </row>
    <row r="254" spans="1:12" x14ac:dyDescent="0.25">
      <c r="A254" s="30" t="str">
        <v>26</v>
      </c>
      <c r="B254" s="21" t="str">
        <v>Electrical</v>
      </c>
      <c r="C254" s="21" t="str">
        <v>05</v>
      </c>
      <c r="D254" s="21" t="str">
        <v>Common Work Results for Electrical</v>
      </c>
      <c r="E254" s="21" t="str">
        <v>00.10</v>
      </c>
      <c r="F254" s="34" t="str">
        <v>مواد كهرباء</v>
      </c>
      <c r="G254" s="21" t="str">
        <v>Electrical Materials</v>
      </c>
      <c r="H254" s="21" t="str">
        <v>16</v>
      </c>
      <c r="I254" s="21" t="str">
        <v>26 05 00.1016</v>
      </c>
      <c r="J254" s="21" t="str">
        <v>لفة خرطوم مقاس 23</v>
      </c>
      <c r="K254" s="21" t="str">
        <v>ORANGE HOSE 23 MM</v>
      </c>
      <c r="L254" s="21">
        <v>0</v>
      </c>
    </row>
    <row r="255" spans="1:12" x14ac:dyDescent="0.25">
      <c r="A255" s="30">
        <v>0</v>
      </c>
      <c r="B255" s="21">
        <v>0</v>
      </c>
      <c r="C255" s="21">
        <v>0</v>
      </c>
      <c r="D255" s="21">
        <v>0</v>
      </c>
      <c r="E255" s="21">
        <v>0</v>
      </c>
      <c r="F255" s="34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</row>
    <row r="256" spans="1:12" ht="30" x14ac:dyDescent="0.25">
      <c r="A256" s="30" t="str">
        <v>26</v>
      </c>
      <c r="B256" s="21" t="str">
        <v>Electrical</v>
      </c>
      <c r="C256" s="21" t="str">
        <v>05</v>
      </c>
      <c r="D256" s="21" t="str">
        <v>Common Work Results for Electrical</v>
      </c>
      <c r="E256" s="21" t="str">
        <v>00.10</v>
      </c>
      <c r="F256" s="34" t="str">
        <v>مواد كهرباء</v>
      </c>
      <c r="G256" s="21" t="str">
        <v>Electrical Materials</v>
      </c>
      <c r="H256" s="21" t="str">
        <v>18</v>
      </c>
      <c r="I256" s="21" t="str">
        <v>26 05 00.1018</v>
      </c>
      <c r="J256" s="21" t="str">
        <v>كابل نحاس ثرموبلاستيك 3*2.5 مم2</v>
      </c>
      <c r="K256" s="21" t="str">
        <v>Thermo Plastic Copper Cable With CSA (3*2.5)mm2</v>
      </c>
      <c r="L256" s="21">
        <v>0</v>
      </c>
    </row>
    <row r="257" spans="1:12" x14ac:dyDescent="0.25">
      <c r="A257" s="30" t="str">
        <v>26</v>
      </c>
      <c r="B257" s="21" t="str">
        <v>Electrical</v>
      </c>
      <c r="C257" s="21" t="str">
        <v>05</v>
      </c>
      <c r="D257" s="21" t="str">
        <v>Common Work Results for Electrical</v>
      </c>
      <c r="E257" s="21" t="str">
        <v>00.10</v>
      </c>
      <c r="F257" s="34" t="str">
        <v>مواد كهرباء</v>
      </c>
      <c r="G257" s="21" t="str">
        <v>Electrical Materials</v>
      </c>
      <c r="H257" s="21" t="str">
        <v>19</v>
      </c>
      <c r="I257" s="21" t="str">
        <v>26 05 00.1019</v>
      </c>
      <c r="J257" s="21" t="str">
        <v>جلبة مقاس 75 مم2</v>
      </c>
      <c r="K257" s="21" t="str">
        <v>75 mm CLASS 3 PVC COUPLING</v>
      </c>
      <c r="L257" s="21">
        <v>0</v>
      </c>
    </row>
    <row r="258" spans="1:12" x14ac:dyDescent="0.25">
      <c r="A258" s="30" t="str">
        <v>26</v>
      </c>
      <c r="B258" s="21" t="str">
        <v>Electrical</v>
      </c>
      <c r="C258" s="21" t="str">
        <v>05</v>
      </c>
      <c r="D258" s="21" t="str">
        <v>Common Work Results for Electrical</v>
      </c>
      <c r="E258" s="21" t="str">
        <v>00.10</v>
      </c>
      <c r="F258" s="34" t="str">
        <v>مواد كهرباء</v>
      </c>
      <c r="G258" s="21" t="str">
        <v>Electrical Materials</v>
      </c>
      <c r="H258" s="21" t="str">
        <v>20</v>
      </c>
      <c r="I258" s="21" t="str">
        <v>26 05 00.1020</v>
      </c>
      <c r="J258" s="21" t="str">
        <v>بوكس 7 * 10</v>
      </c>
      <c r="K258" s="21" t="str">
        <v>Junction Box 7x10 cm</v>
      </c>
      <c r="L258" s="21">
        <v>0</v>
      </c>
    </row>
    <row r="259" spans="1:12" x14ac:dyDescent="0.25">
      <c r="A259" s="30" t="str">
        <v>26</v>
      </c>
      <c r="B259" s="21" t="str">
        <v>Electrical</v>
      </c>
      <c r="C259" s="21" t="str">
        <v>05</v>
      </c>
      <c r="D259" s="21" t="str">
        <v>Common Work Results for Electrical</v>
      </c>
      <c r="E259" s="21" t="str">
        <v>00.10</v>
      </c>
      <c r="F259" s="34" t="str">
        <v>مواد كهرباء</v>
      </c>
      <c r="G259" s="21" t="str">
        <v>Electrical Materials</v>
      </c>
      <c r="H259" s="21" t="str">
        <v>21</v>
      </c>
      <c r="I259" s="21" t="str">
        <v>26 05 00.1021</v>
      </c>
      <c r="J259" s="21" t="str">
        <v>بوكس معدن مقاس (10X10X3.5) CM</v>
      </c>
      <c r="K259" s="21" t="str">
        <v>EMT CEILING BOX (10X10X3.5) CM</v>
      </c>
      <c r="L259" s="21">
        <v>0</v>
      </c>
    </row>
    <row r="260" spans="1:12" x14ac:dyDescent="0.25">
      <c r="A260" s="30" t="str">
        <v>26</v>
      </c>
      <c r="B260" s="21" t="str">
        <v>Electrical</v>
      </c>
      <c r="C260" s="21" t="str">
        <v>05</v>
      </c>
      <c r="D260" s="21" t="str">
        <v>Common Work Results for Electrical</v>
      </c>
      <c r="E260" s="21" t="str">
        <v>00.10</v>
      </c>
      <c r="F260" s="34" t="str">
        <v>مواد كهرباء</v>
      </c>
      <c r="G260" s="21" t="str">
        <v>Electrical Materials</v>
      </c>
      <c r="H260" s="21" t="str">
        <v>22</v>
      </c>
      <c r="I260" s="21" t="str">
        <v>26 05 00.1022</v>
      </c>
      <c r="J260" s="21" t="str">
        <v>كوع زاوية 45 مقاس 75 مم2</v>
      </c>
      <c r="K260" s="21" t="str">
        <v>75 mm CLASS 3 PVC ELBOW 45</v>
      </c>
      <c r="L260" s="21">
        <v>0</v>
      </c>
    </row>
    <row r="261" spans="1:12" x14ac:dyDescent="0.25">
      <c r="A261" s="30" t="str">
        <v>26</v>
      </c>
      <c r="B261" s="21" t="str">
        <v>Electrical</v>
      </c>
      <c r="C261" s="21" t="str">
        <v>05</v>
      </c>
      <c r="D261" s="21" t="str">
        <v>Common Work Results for Electrical</v>
      </c>
      <c r="E261" s="21" t="str">
        <v>00.10</v>
      </c>
      <c r="F261" s="34" t="str">
        <v>مواد كهرباء</v>
      </c>
      <c r="G261" s="21" t="str">
        <v>Electrical Materials</v>
      </c>
      <c r="H261" s="21" t="str">
        <v>23</v>
      </c>
      <c r="I261" s="21" t="str">
        <v>26 05 00.1023</v>
      </c>
      <c r="J261" s="21" t="str">
        <v>جلبة مقاس 50 مم2</v>
      </c>
      <c r="K261" s="21" t="str">
        <v>50 mm CLASS 3 PVC COUPLING</v>
      </c>
      <c r="L261" s="21">
        <v>0</v>
      </c>
    </row>
    <row r="262" spans="1:12" x14ac:dyDescent="0.25">
      <c r="A262" s="30" t="str">
        <v>26</v>
      </c>
      <c r="B262" s="21" t="str">
        <v>Electrical</v>
      </c>
      <c r="C262" s="21" t="str">
        <v>05</v>
      </c>
      <c r="D262" s="21" t="str">
        <v>Common Work Results for Electrical</v>
      </c>
      <c r="E262" s="21" t="str">
        <v>00.10</v>
      </c>
      <c r="F262" s="34" t="str">
        <v>مواد كهرباء</v>
      </c>
      <c r="G262" s="21" t="str">
        <v>Electrical Materials</v>
      </c>
      <c r="H262" s="21" t="str">
        <v>24</v>
      </c>
      <c r="I262" s="21" t="str">
        <v>26 05 00.1024</v>
      </c>
      <c r="J262" s="21" t="str">
        <v>كوع زاوية 90 مقاس 50 مم2</v>
      </c>
      <c r="K262" s="21" t="str">
        <v>50 mm CLASS 3 PVC ELBOW 90</v>
      </c>
      <c r="L262" s="21">
        <v>0</v>
      </c>
    </row>
    <row r="263" spans="1:12" x14ac:dyDescent="0.25">
      <c r="A263" s="30" t="str">
        <v>26</v>
      </c>
      <c r="B263" s="21" t="str">
        <v>Electrical</v>
      </c>
      <c r="C263" s="21" t="str">
        <v>05</v>
      </c>
      <c r="D263" s="21" t="str">
        <v>Common Work Results for Electrical</v>
      </c>
      <c r="E263" s="21" t="str">
        <v>00.10</v>
      </c>
      <c r="F263" s="34" t="str">
        <v>مواد كهرباء</v>
      </c>
      <c r="G263" s="21" t="str">
        <v>Electrical Materials</v>
      </c>
      <c r="H263" s="21" t="str">
        <v>25</v>
      </c>
      <c r="I263" s="21" t="str">
        <v>26 05 00.1025</v>
      </c>
      <c r="J263" s="21" t="str">
        <v>كوع زاوية 45 مقاس 50 مم2</v>
      </c>
      <c r="K263" s="21" t="str">
        <v>50 mm CLASS 3 PVC ELBOW 45</v>
      </c>
      <c r="L263" s="21">
        <v>0</v>
      </c>
    </row>
    <row r="264" spans="1:12" x14ac:dyDescent="0.25">
      <c r="A264" s="30" t="str">
        <v>26</v>
      </c>
      <c r="B264" s="21" t="str">
        <v>Electrical</v>
      </c>
      <c r="C264" s="21" t="str">
        <v>05</v>
      </c>
      <c r="D264" s="21" t="str">
        <v>Common Work Results for Electrical</v>
      </c>
      <c r="E264" s="21" t="str">
        <v>00.10</v>
      </c>
      <c r="F264" s="34" t="str">
        <v>مواد كهرباء</v>
      </c>
      <c r="G264" s="21" t="str">
        <v>Electrical Materials</v>
      </c>
      <c r="H264" s="21" t="str">
        <v>26</v>
      </c>
      <c r="I264" s="21" t="str">
        <v>26 05 00.1026</v>
      </c>
      <c r="J264" s="21" t="str">
        <v>كوع زاوية 90 مقاس 32 مم2</v>
      </c>
      <c r="K264" s="21" t="str">
        <v>32 mm CLASS 3 PVC ELBOW 90</v>
      </c>
      <c r="L264" s="21">
        <v>0</v>
      </c>
    </row>
    <row r="265" spans="1:12" x14ac:dyDescent="0.25">
      <c r="A265" s="30" t="str">
        <v>26</v>
      </c>
      <c r="B265" s="21" t="str">
        <v>Electrical</v>
      </c>
      <c r="C265" s="21" t="str">
        <v>05</v>
      </c>
      <c r="D265" s="21" t="str">
        <v>Common Work Results for Electrical</v>
      </c>
      <c r="E265" s="21" t="str">
        <v>00.10</v>
      </c>
      <c r="F265" s="34" t="str">
        <v>مواد كهرباء</v>
      </c>
      <c r="G265" s="21" t="str">
        <v>Electrical Materials</v>
      </c>
      <c r="H265" s="21" t="str">
        <v>27</v>
      </c>
      <c r="I265" s="21" t="str">
        <v>26 05 00.1027</v>
      </c>
      <c r="J265" s="21" t="str">
        <v>كوع زاوية 45 مقاس 32 مم2</v>
      </c>
      <c r="K265" s="21" t="str">
        <v>32 mm CLASS 3 PVC ELBOW 45</v>
      </c>
      <c r="L265" s="21">
        <v>0</v>
      </c>
    </row>
    <row r="266" spans="1:12" ht="30" x14ac:dyDescent="0.25">
      <c r="A266" s="30" t="str">
        <v>26</v>
      </c>
      <c r="B266" s="21" t="str">
        <v>Electrical</v>
      </c>
      <c r="C266" s="21" t="str">
        <v>05</v>
      </c>
      <c r="D266" s="21" t="str">
        <v>Common Work Results for Electrical</v>
      </c>
      <c r="E266" s="21" t="str">
        <v>00.10</v>
      </c>
      <c r="F266" s="34" t="str">
        <v>مواد كهرباء</v>
      </c>
      <c r="G266" s="21" t="str">
        <v>Electrical Materials</v>
      </c>
      <c r="H266" s="21" t="str">
        <v>28</v>
      </c>
      <c r="I266" s="21" t="str">
        <v>26 05 00.1028</v>
      </c>
      <c r="J266" s="21" t="str">
        <v>ادابتور بلاستيك 20 مم</v>
      </c>
      <c r="K266" s="21" t="str">
        <v>BLACK ADAPTOR
 FEMALE 20 MM</v>
      </c>
      <c r="L266" s="21">
        <v>0</v>
      </c>
    </row>
    <row r="267" spans="1:12" ht="30" x14ac:dyDescent="0.25">
      <c r="A267" s="30" t="str">
        <v>26</v>
      </c>
      <c r="B267" s="21" t="str">
        <v>Electrical</v>
      </c>
      <c r="C267" s="21" t="str">
        <v>05</v>
      </c>
      <c r="D267" s="21" t="str">
        <v>Common Work Results for Electrical</v>
      </c>
      <c r="E267" s="21" t="str">
        <v>00.10</v>
      </c>
      <c r="F267" s="34" t="str">
        <v>مواد كهرباء</v>
      </c>
      <c r="G267" s="21" t="str">
        <v>Electrical Materials</v>
      </c>
      <c r="H267" s="21" t="str">
        <v>29</v>
      </c>
      <c r="I267" s="21" t="str">
        <v>26 05 00.1029</v>
      </c>
      <c r="J267" s="21" t="str">
        <v>ادابتور بلاستيك 25 مم</v>
      </c>
      <c r="K267" s="21" t="str">
        <v>BLACK ADAPTOR
 FEMALE 25 MM</v>
      </c>
      <c r="L267" s="21">
        <v>0</v>
      </c>
    </row>
    <row r="268" spans="1:12" x14ac:dyDescent="0.25">
      <c r="A268" s="30">
        <v>0</v>
      </c>
      <c r="B268" s="21">
        <v>0</v>
      </c>
      <c r="C268" s="21">
        <v>0</v>
      </c>
      <c r="D268" s="21">
        <v>0</v>
      </c>
      <c r="E268" s="21">
        <v>0</v>
      </c>
      <c r="F268" s="34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</row>
    <row r="269" spans="1:12" x14ac:dyDescent="0.25">
      <c r="A269" s="30">
        <v>0</v>
      </c>
      <c r="B269" s="21">
        <v>0</v>
      </c>
      <c r="C269" s="21">
        <v>0</v>
      </c>
      <c r="D269" s="21">
        <v>0</v>
      </c>
      <c r="E269" s="21">
        <v>0</v>
      </c>
      <c r="F269" s="34"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</row>
    <row r="270" spans="1:12" x14ac:dyDescent="0.25">
      <c r="A270" s="30">
        <v>0</v>
      </c>
      <c r="B270" s="21">
        <v>0</v>
      </c>
      <c r="C270" s="21">
        <v>0</v>
      </c>
      <c r="D270" s="21">
        <v>0</v>
      </c>
      <c r="E270" s="21">
        <v>0</v>
      </c>
      <c r="F270" s="34"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</row>
    <row r="271" spans="1:12" x14ac:dyDescent="0.25">
      <c r="A271" s="30" t="str">
        <v>26</v>
      </c>
      <c r="B271" s="21" t="str">
        <v>Electrical</v>
      </c>
      <c r="C271" s="21" t="str">
        <v>05</v>
      </c>
      <c r="D271" s="21" t="str">
        <v>Common Work Results for Electrical</v>
      </c>
      <c r="E271" s="21" t="str">
        <v>00.10</v>
      </c>
      <c r="F271" s="34" t="str">
        <v>مواد كهرباء</v>
      </c>
      <c r="G271" s="21" t="str">
        <v>Electrical Materials</v>
      </c>
      <c r="H271" s="21" t="str">
        <v>34</v>
      </c>
      <c r="I271" s="21" t="str">
        <v>26 05 00.1034</v>
      </c>
      <c r="J271" s="21" t="str">
        <v>كوع زاوية 90 مقاس 75 مم2</v>
      </c>
      <c r="K271" s="21" t="str">
        <v>75 mm CLASS 3 PVC ELBOW 90</v>
      </c>
      <c r="L271" s="21">
        <v>0</v>
      </c>
    </row>
    <row r="272" spans="1:12" x14ac:dyDescent="0.25">
      <c r="A272" s="30">
        <v>0</v>
      </c>
      <c r="B272" s="21">
        <v>0</v>
      </c>
      <c r="C272" s="21">
        <v>0</v>
      </c>
      <c r="D272" s="21">
        <v>0</v>
      </c>
      <c r="E272" s="21">
        <v>0</v>
      </c>
      <c r="F272" s="34">
        <v>0</v>
      </c>
      <c r="G272" s="21">
        <v>0</v>
      </c>
      <c r="H272" s="21">
        <v>0</v>
      </c>
      <c r="I272" s="30">
        <v>0</v>
      </c>
      <c r="J272" s="29">
        <v>0</v>
      </c>
      <c r="K272" s="42">
        <v>0</v>
      </c>
      <c r="L272" s="42">
        <v>0</v>
      </c>
    </row>
    <row r="273" spans="1:12" x14ac:dyDescent="0.25">
      <c r="A273" s="30" t="str">
        <v>26</v>
      </c>
      <c r="B273" s="21" t="str">
        <v>Electrical</v>
      </c>
      <c r="C273" s="21" t="str">
        <v>05</v>
      </c>
      <c r="D273" s="21" t="str">
        <v>Common Work Results for Electrical</v>
      </c>
      <c r="E273" s="21" t="str">
        <v>00.10</v>
      </c>
      <c r="F273" s="34" t="str">
        <v>مواد كهرباء</v>
      </c>
      <c r="G273" s="21" t="str">
        <v>Electrical Materials</v>
      </c>
      <c r="H273" s="21" t="str">
        <v>36</v>
      </c>
      <c r="I273" s="30" t="str">
        <v>26 05 00.1036</v>
      </c>
      <c r="J273" s="29" t="str">
        <v>غطاء بوكس معدن مقاس (7X14X4.7) CM</v>
      </c>
      <c r="K273" s="42" t="str">
        <v>EMT BOX COVER (7X14X4.7) CM</v>
      </c>
      <c r="L273" s="42">
        <v>0</v>
      </c>
    </row>
    <row r="274" spans="1:12" x14ac:dyDescent="0.25">
      <c r="A274" s="30">
        <v>0</v>
      </c>
      <c r="B274" s="21">
        <v>0</v>
      </c>
      <c r="C274" s="21">
        <v>0</v>
      </c>
      <c r="D274" s="21">
        <v>0</v>
      </c>
      <c r="E274" s="21">
        <v>0</v>
      </c>
      <c r="F274" s="34">
        <v>0</v>
      </c>
      <c r="G274" s="21">
        <v>0</v>
      </c>
      <c r="H274" s="21">
        <v>0</v>
      </c>
      <c r="I274" s="30">
        <v>0</v>
      </c>
      <c r="J274" s="29">
        <v>0</v>
      </c>
      <c r="K274" s="42">
        <v>0</v>
      </c>
      <c r="L274" s="42">
        <v>0</v>
      </c>
    </row>
    <row r="275" spans="1:12" x14ac:dyDescent="0.25">
      <c r="A275" s="30" t="str">
        <v>26</v>
      </c>
      <c r="B275" s="21" t="str">
        <v>Electrical</v>
      </c>
      <c r="C275" s="21" t="str">
        <v>05</v>
      </c>
      <c r="D275" s="21" t="str">
        <v>Common Work Results for Electrical</v>
      </c>
      <c r="E275" s="21" t="str">
        <v>00.10</v>
      </c>
      <c r="F275" s="34" t="str">
        <v>مواد كهرباء</v>
      </c>
      <c r="G275" s="21" t="str">
        <v>Electrical Materials</v>
      </c>
      <c r="H275" s="21" t="str">
        <v>38</v>
      </c>
      <c r="I275" s="30" t="str">
        <v>26 05 00.1038</v>
      </c>
      <c r="J275" s="29" t="str">
        <v>صاموله 12 م</v>
      </c>
      <c r="K275" s="42" t="str">
        <v>Nut 12 mm</v>
      </c>
      <c r="L275" s="42">
        <v>0</v>
      </c>
    </row>
    <row r="276" spans="1:12" x14ac:dyDescent="0.25">
      <c r="A276" s="30" t="str">
        <v>26</v>
      </c>
      <c r="B276" s="21" t="str">
        <v>Electrical</v>
      </c>
      <c r="C276" s="21" t="str">
        <v>05</v>
      </c>
      <c r="D276" s="21" t="str">
        <v>Common Work Results for Electrical</v>
      </c>
      <c r="E276" s="21" t="str">
        <v>00.10</v>
      </c>
      <c r="F276" s="34" t="str">
        <v>مواد كهرباء</v>
      </c>
      <c r="G276" s="21" t="str">
        <v>Electrical Materials</v>
      </c>
      <c r="H276" s="21" t="str">
        <v>39</v>
      </c>
      <c r="I276" s="30" t="str">
        <v>26 05 00.1039</v>
      </c>
      <c r="J276" s="29" t="str">
        <v>ورده 12 م</v>
      </c>
      <c r="K276" s="42" t="str">
        <v>Washer 12 mm</v>
      </c>
      <c r="L276" s="42">
        <v>0</v>
      </c>
    </row>
    <row r="277" spans="1:12" x14ac:dyDescent="0.25">
      <c r="A277" s="30" t="str">
        <v>26</v>
      </c>
      <c r="B277" s="21" t="str">
        <v>Electrical</v>
      </c>
      <c r="C277" s="21" t="str">
        <v>05</v>
      </c>
      <c r="D277" s="21" t="str">
        <v>Common Work Results for Electrical</v>
      </c>
      <c r="E277" s="21" t="str">
        <v>00.10</v>
      </c>
      <c r="F277" s="34" t="str">
        <v>مواد كهرباء</v>
      </c>
      <c r="G277" s="21" t="str">
        <v>Electrical Materials</v>
      </c>
      <c r="H277" s="21" t="str">
        <v>42</v>
      </c>
      <c r="I277" s="30" t="str">
        <v>26 05 00.1042</v>
      </c>
      <c r="J277" s="29" t="str">
        <v>لفة فليكسبل بلاستيك مقاس مم 25</v>
      </c>
      <c r="K277" s="42" t="str">
        <v>PVC FLEXIBLE CONDUIT 25 MM</v>
      </c>
      <c r="L277" s="42">
        <v>0</v>
      </c>
    </row>
    <row r="278" spans="1:12" ht="30" x14ac:dyDescent="0.25">
      <c r="A278" s="30" t="str">
        <v>26</v>
      </c>
      <c r="B278" s="21" t="str">
        <v>Electrical</v>
      </c>
      <c r="C278" s="21" t="str">
        <v>05</v>
      </c>
      <c r="D278" s="21" t="str">
        <v>Common Work Results for Electrical</v>
      </c>
      <c r="E278" s="21" t="str">
        <v>00.10</v>
      </c>
      <c r="F278" s="34" t="str">
        <v>مواد كهرباء</v>
      </c>
      <c r="G278" s="21" t="str">
        <v>Electrical Materials</v>
      </c>
      <c r="H278" s="21" t="str">
        <v>43</v>
      </c>
      <c r="I278" s="30" t="str">
        <v>26 05 00.1043</v>
      </c>
      <c r="J278" s="29" t="str">
        <v>خيط شداد قطر 2 مم2</v>
      </c>
      <c r="K278" s="42" t="str">
        <v>Pulling String 2 mm² / Pulling Rope 2 mm²</v>
      </c>
      <c r="L278" s="42">
        <v>0</v>
      </c>
    </row>
    <row r="279" spans="1:12" ht="30" x14ac:dyDescent="0.25">
      <c r="A279" s="30" t="str">
        <v>26</v>
      </c>
      <c r="B279" s="21" t="str">
        <v>Electrical</v>
      </c>
      <c r="C279" s="21" t="str">
        <v>05</v>
      </c>
      <c r="D279" s="21" t="str">
        <v>Common Work Results for Electrical</v>
      </c>
      <c r="E279" s="21" t="str">
        <v>00.10</v>
      </c>
      <c r="F279" s="34" t="str">
        <v>مواد كهرباء</v>
      </c>
      <c r="G279" s="21" t="str">
        <v>Electrical Materials</v>
      </c>
      <c r="H279" s="21" t="str">
        <v>44</v>
      </c>
      <c r="I279" s="30" t="str">
        <v>26 05 00.1044</v>
      </c>
      <c r="J279" s="29" t="str">
        <v>كابل نحاس عاري 120 مم2</v>
      </c>
      <c r="K279" s="42" t="str">
        <v>120 mm² Soft Drawn Bare copper Conductor</v>
      </c>
      <c r="L279" s="42">
        <v>0</v>
      </c>
    </row>
    <row r="280" spans="1:12" x14ac:dyDescent="0.25">
      <c r="A280" s="30" t="str">
        <v>26</v>
      </c>
      <c r="B280" s="21" t="str">
        <v>Electrical</v>
      </c>
      <c r="C280" s="21" t="str">
        <v>05</v>
      </c>
      <c r="D280" s="21" t="str">
        <v>Common Work Results for Electrical</v>
      </c>
      <c r="E280" s="21" t="str">
        <v>00.10</v>
      </c>
      <c r="F280" s="34" t="str">
        <v>مواد كهرباء</v>
      </c>
      <c r="G280" s="21" t="str">
        <v>Electrical Materials</v>
      </c>
      <c r="H280" s="21" t="str">
        <v>45</v>
      </c>
      <c r="I280" s="30" t="str">
        <v>26 05 00.1045</v>
      </c>
      <c r="J280" s="29" t="str">
        <v>بوكس معدن مقاس (5X10X4.7) CM</v>
      </c>
      <c r="K280" s="42" t="str">
        <v>EMT BOX (2"X 4") CM</v>
      </c>
      <c r="L280" s="42">
        <v>0</v>
      </c>
    </row>
    <row r="281" spans="1:12" x14ac:dyDescent="0.25">
      <c r="A281" s="30" t="str">
        <v>26</v>
      </c>
      <c r="B281" s="21" t="str">
        <v>Electrical</v>
      </c>
      <c r="C281" s="21" t="str">
        <v>05</v>
      </c>
      <c r="D281" s="21" t="str">
        <v>Common Work Results for Electrical</v>
      </c>
      <c r="E281" s="21" t="str">
        <v>00.10</v>
      </c>
      <c r="F281" s="34" t="str">
        <v>مواد كهرباء</v>
      </c>
      <c r="G281" s="21" t="str">
        <v>Electrical Materials</v>
      </c>
      <c r="H281" s="21" t="str">
        <v>46</v>
      </c>
      <c r="I281" s="30" t="str">
        <v>26 05 00.1046</v>
      </c>
      <c r="J281" s="29" t="str">
        <v>بوكس معدن مقاس (20X20X10) CM</v>
      </c>
      <c r="K281" s="42" t="str">
        <v>EMT BOX (20X20X10) CM</v>
      </c>
      <c r="L281" s="42">
        <v>0</v>
      </c>
    </row>
    <row r="282" spans="1:12" x14ac:dyDescent="0.25">
      <c r="A282" s="30" t="str">
        <v>26</v>
      </c>
      <c r="B282" s="21" t="str">
        <v>Electrical</v>
      </c>
      <c r="C282" s="21" t="str">
        <v>05</v>
      </c>
      <c r="D282" s="21" t="str">
        <v>Common Work Results for Electrical</v>
      </c>
      <c r="E282" s="21" t="str">
        <v>00.10</v>
      </c>
      <c r="F282" s="34" t="str">
        <v>مواد كهرباء</v>
      </c>
      <c r="G282" s="21" t="str">
        <v>Electrical Materials</v>
      </c>
      <c r="H282" s="21" t="str">
        <v>47</v>
      </c>
      <c r="I282" s="30" t="str">
        <v>26 05 00.1047</v>
      </c>
      <c r="J282" s="29" t="str">
        <v>بوكس معدن مقاس (20X20X5.5) CM</v>
      </c>
      <c r="K282" s="42" t="str">
        <v>EMT BOX (20X20X5.5) CM</v>
      </c>
      <c r="L282" s="42">
        <v>0</v>
      </c>
    </row>
    <row r="283" spans="1:12" x14ac:dyDescent="0.25">
      <c r="A283" s="30" t="str">
        <v>26</v>
      </c>
      <c r="B283" s="21" t="str">
        <v>Electrical</v>
      </c>
      <c r="C283" s="21" t="str">
        <v>05</v>
      </c>
      <c r="D283" s="21" t="str">
        <v>Common Work Results for Electrical</v>
      </c>
      <c r="E283" s="21" t="str">
        <v>00.10</v>
      </c>
      <c r="F283" s="34" t="str">
        <v>مواد كهرباء</v>
      </c>
      <c r="G283" s="21" t="str">
        <v>Electrical Materials</v>
      </c>
      <c r="H283" s="21" t="str">
        <v>48</v>
      </c>
      <c r="I283" s="30" t="str">
        <v>26 05 00.1048</v>
      </c>
      <c r="J283" s="29" t="str">
        <v>مسمار  م 27</v>
      </c>
      <c r="K283" s="42" t="str">
        <v>Screw/Nail 27 mm</v>
      </c>
      <c r="L283" s="42">
        <v>0</v>
      </c>
    </row>
    <row r="284" spans="1:12" x14ac:dyDescent="0.25">
      <c r="A284" s="30" t="str">
        <v>26</v>
      </c>
      <c r="B284" s="21" t="str">
        <v>Electrical</v>
      </c>
      <c r="C284" s="21" t="str">
        <v>05</v>
      </c>
      <c r="D284" s="21" t="str">
        <v>Common Work Results for Electrical</v>
      </c>
      <c r="E284" s="21" t="str">
        <v>00.10</v>
      </c>
      <c r="F284" s="34" t="str">
        <v>مواد كهرباء</v>
      </c>
      <c r="G284" s="21" t="str">
        <v>Electrical Materials</v>
      </c>
      <c r="H284" s="21" t="str">
        <v>50</v>
      </c>
      <c r="I284" s="30" t="str">
        <v>26 05 00.1050</v>
      </c>
      <c r="J284" s="29" t="str">
        <v>لوحة كهرباء 24 خط</v>
      </c>
      <c r="K284" s="42" t="str">
        <v>PANEL ENCLOSURE 24 CIRCUIT</v>
      </c>
      <c r="L284" s="42">
        <v>0</v>
      </c>
    </row>
    <row r="285" spans="1:12" ht="30" x14ac:dyDescent="0.25">
      <c r="A285" s="30" t="str">
        <v>26</v>
      </c>
      <c r="B285" s="21" t="str">
        <v>Electrical</v>
      </c>
      <c r="C285" s="21" t="str">
        <v>05</v>
      </c>
      <c r="D285" s="21" t="str">
        <v>Common Work Results for Electrical</v>
      </c>
      <c r="E285" s="21" t="str">
        <v>00.10</v>
      </c>
      <c r="F285" s="34" t="str">
        <v>مواد كهرباء</v>
      </c>
      <c r="G285" s="21" t="str">
        <v>Electrical Materials</v>
      </c>
      <c r="H285" s="21" t="str">
        <v>51</v>
      </c>
      <c r="I285" s="30" t="str">
        <v>26 05 00.1051</v>
      </c>
      <c r="J285" s="29" t="str">
        <v>كابل نحاس (4*16) مم2</v>
      </c>
      <c r="K285" s="42" t="str">
        <v xml:space="preserve"> Cable With (4*16) mm2 CU/XLPE/PVC</v>
      </c>
      <c r="L285" s="42">
        <v>0</v>
      </c>
    </row>
    <row r="286" spans="1:12" x14ac:dyDescent="0.25">
      <c r="A286" s="30" t="str">
        <v>26</v>
      </c>
      <c r="B286" s="21" t="str">
        <v>Electrical</v>
      </c>
      <c r="C286" s="21" t="str">
        <v>05</v>
      </c>
      <c r="D286" s="21" t="str">
        <v>Common Work Results for Electrical</v>
      </c>
      <c r="E286" s="21" t="str">
        <v>00.10</v>
      </c>
      <c r="F286" s="34" t="str">
        <v>مواد كهرباء</v>
      </c>
      <c r="G286" s="21" t="str">
        <v>Electrical Materials</v>
      </c>
      <c r="H286" s="21" t="str">
        <v>52</v>
      </c>
      <c r="I286" s="30" t="str">
        <v>26 05 00.1052</v>
      </c>
      <c r="J286" s="29" t="str">
        <v>فيش كهربا بمفتاح ثنائي-فنار</v>
      </c>
      <c r="K286" s="42" t="str">
        <v>13A DOUBLE SWITCHED SOCKET</v>
      </c>
      <c r="L286" s="42">
        <v>0</v>
      </c>
    </row>
    <row r="287" spans="1:12" x14ac:dyDescent="0.25">
      <c r="A287" s="30" t="str">
        <v>26</v>
      </c>
      <c r="B287" s="21" t="str">
        <v>Electrical</v>
      </c>
      <c r="C287" s="21" t="str">
        <v>05</v>
      </c>
      <c r="D287" s="21" t="str">
        <v>Common Work Results for Electrical</v>
      </c>
      <c r="E287" s="21" t="str">
        <v>00.10</v>
      </c>
      <c r="F287" s="34" t="str">
        <v>مواد كهرباء</v>
      </c>
      <c r="G287" s="21" t="str">
        <v>Electrical Materials</v>
      </c>
      <c r="H287" s="21">
        <v>53</v>
      </c>
      <c r="I287" s="30" t="str">
        <v>26 05 00.1053</v>
      </c>
      <c r="J287" s="29" t="str">
        <v>بكس بلاستيك 15 * 7</v>
      </c>
      <c r="K287" s="42" t="str">
        <v>Plastic Box 15x7 cm</v>
      </c>
      <c r="L287" s="42">
        <v>0</v>
      </c>
    </row>
    <row r="288" spans="1:12" x14ac:dyDescent="0.25">
      <c r="A288" s="30" t="str">
        <v>26</v>
      </c>
      <c r="B288" s="21" t="str">
        <v>Electrical</v>
      </c>
      <c r="C288" s="21" t="str">
        <v>05</v>
      </c>
      <c r="D288" s="21" t="str">
        <v>Common Work Results for Electrical</v>
      </c>
      <c r="E288" s="21" t="str">
        <v>00.10</v>
      </c>
      <c r="F288" s="34" t="str">
        <v>مواد كهرباء</v>
      </c>
      <c r="G288" s="21" t="str">
        <v>Electrical Materials</v>
      </c>
      <c r="H288" s="21">
        <v>54</v>
      </c>
      <c r="I288" s="30" t="str">
        <v>26 05 00.1054</v>
      </c>
      <c r="J288" s="29" t="str">
        <v>روزتات M 35</v>
      </c>
      <c r="K288" s="42" t="str">
        <v>Rosette M 35</v>
      </c>
      <c r="L288" s="42">
        <v>0</v>
      </c>
    </row>
    <row r="289" spans="1:12" x14ac:dyDescent="0.25">
      <c r="A289" s="30" t="str">
        <v>26</v>
      </c>
      <c r="B289" s="21" t="str">
        <v>Electrical</v>
      </c>
      <c r="C289" s="21" t="str">
        <v>05</v>
      </c>
      <c r="D289" s="21" t="str">
        <v>Common Work Results for Electrical</v>
      </c>
      <c r="E289" s="21" t="str">
        <v>00.10</v>
      </c>
      <c r="F289" s="34" t="str">
        <v>مواد كهرباء</v>
      </c>
      <c r="G289" s="21" t="str">
        <v>Electrical Materials</v>
      </c>
      <c r="H289" s="21">
        <v>55</v>
      </c>
      <c r="I289" s="30" t="str">
        <v>26 05 00.1055</v>
      </c>
      <c r="J289" s="29" t="str">
        <v>قاطع M 20</v>
      </c>
      <c r="K289" s="42" t="str">
        <v>Circuit Breaker M 20</v>
      </c>
      <c r="L289" s="42">
        <v>0</v>
      </c>
    </row>
    <row r="290" spans="1:12" x14ac:dyDescent="0.25">
      <c r="A290" s="30" t="str">
        <v>26</v>
      </c>
      <c r="B290" s="21" t="str">
        <v>Electrical</v>
      </c>
      <c r="C290" s="21" t="str">
        <v>05</v>
      </c>
      <c r="D290" s="21" t="str">
        <v>Common Work Results for Electrical</v>
      </c>
      <c r="E290" s="21" t="str">
        <v>00.10</v>
      </c>
      <c r="F290" s="34" t="str">
        <v>مواد كهرباء</v>
      </c>
      <c r="G290" s="21" t="str">
        <v>Electrical Materials</v>
      </c>
      <c r="H290" s="21">
        <v>56</v>
      </c>
      <c r="I290" s="30" t="str">
        <v>26 05 00.1056</v>
      </c>
      <c r="J290" s="29" t="str">
        <v>علبة مسامير طول 7 سم</v>
      </c>
      <c r="K290" s="42" t="str">
        <v>Screw/Nail M 7</v>
      </c>
      <c r="L290" s="42">
        <v>0</v>
      </c>
    </row>
    <row r="291" spans="1:12" x14ac:dyDescent="0.25">
      <c r="A291" s="30" t="str">
        <v>26</v>
      </c>
      <c r="B291" s="21" t="str">
        <v>Electrical</v>
      </c>
      <c r="C291" s="21" t="str">
        <v>05</v>
      </c>
      <c r="D291" s="21" t="str">
        <v>Common Work Results for Electrical</v>
      </c>
      <c r="E291" s="21" t="str">
        <v>00.10</v>
      </c>
      <c r="F291" s="34" t="str">
        <v>مواد كهرباء</v>
      </c>
      <c r="G291" s="21" t="str">
        <v>Electrical Materials</v>
      </c>
      <c r="H291" s="21">
        <v>57</v>
      </c>
      <c r="I291" s="30" t="str">
        <v>26 05 00.1057</v>
      </c>
      <c r="J291" s="29" t="str">
        <v>ماسورة 50 مم كلاس 3</v>
      </c>
      <c r="K291" s="42" t="str">
        <v>50 mm CLASS 3 PVC PIPE ,6MTR</v>
      </c>
      <c r="L291" s="42">
        <v>0</v>
      </c>
    </row>
    <row r="292" spans="1:12" x14ac:dyDescent="0.25">
      <c r="A292" s="30" t="str">
        <v>26</v>
      </c>
      <c r="B292" s="21" t="str">
        <v>Electrical</v>
      </c>
      <c r="C292" s="21" t="str">
        <v>05</v>
      </c>
      <c r="D292" s="21" t="str">
        <v>Common Work Results for Electrical</v>
      </c>
      <c r="E292" s="21" t="str">
        <v>00.10</v>
      </c>
      <c r="F292" s="34" t="str">
        <v>مواد كهرباء</v>
      </c>
      <c r="G292" s="21" t="str">
        <v>Electrical Materials</v>
      </c>
      <c r="H292" s="21">
        <v>58</v>
      </c>
      <c r="I292" s="30" t="str">
        <v>26 05 00.1058</v>
      </c>
      <c r="J292" s="29" t="str">
        <v>ماسورة 110 مم كلاس 3</v>
      </c>
      <c r="K292" s="42" t="str">
        <v>110 mm CLASS 4 PVC PIPE ,6MTR</v>
      </c>
      <c r="L292" s="42">
        <v>0</v>
      </c>
    </row>
    <row r="293" spans="1:12" x14ac:dyDescent="0.25">
      <c r="A293" s="30" t="str">
        <v>26</v>
      </c>
      <c r="B293" s="21" t="str">
        <v>Electrical</v>
      </c>
      <c r="C293" s="21" t="str">
        <v>05</v>
      </c>
      <c r="D293" s="21" t="str">
        <v>Common Work Results for Electrical</v>
      </c>
      <c r="E293" s="21" t="str">
        <v>00.10</v>
      </c>
      <c r="F293" s="34" t="str">
        <v>مواد كهرباء</v>
      </c>
      <c r="G293" s="21" t="str">
        <v>Electrical Materials</v>
      </c>
      <c r="H293" s="21">
        <v>59</v>
      </c>
      <c r="I293" s="30" t="str">
        <v>26 05 00.1059</v>
      </c>
      <c r="J293" s="29" t="str">
        <v>ادابتور معدن 1/2 بوصة</v>
      </c>
      <c r="K293" s="42" t="str">
        <v>FLEXIBLE 1/2'' EMT CONNECTOR</v>
      </c>
      <c r="L293" s="42">
        <v>0</v>
      </c>
    </row>
    <row r="294" spans="1:12" x14ac:dyDescent="0.25">
      <c r="A294" s="30" t="str">
        <v>26</v>
      </c>
      <c r="B294" s="21" t="str">
        <v>Electrical</v>
      </c>
      <c r="C294" s="21" t="str">
        <v>05</v>
      </c>
      <c r="D294" s="21" t="str">
        <v>Common Work Results for Electrical</v>
      </c>
      <c r="E294" s="21" t="str">
        <v>00.10</v>
      </c>
      <c r="F294" s="34" t="str">
        <v>مواد كهرباء</v>
      </c>
      <c r="G294" s="21" t="str">
        <v>Electrical Materials</v>
      </c>
      <c r="H294" s="21">
        <v>60</v>
      </c>
      <c r="I294" s="30" t="str">
        <v>26 05 00.1060</v>
      </c>
      <c r="J294" s="29" t="str">
        <v>لفة فليكسبل معدن مقاس 1/2 بوصة</v>
      </c>
      <c r="K294" s="42" t="str">
        <v>FLEXIBLE 1/2'' EMT CONDUIT</v>
      </c>
      <c r="L294" s="42">
        <v>0</v>
      </c>
    </row>
    <row r="295" spans="1:12" x14ac:dyDescent="0.25">
      <c r="A295" s="30" t="str">
        <v>26</v>
      </c>
      <c r="B295" s="21" t="str">
        <v>Electrical</v>
      </c>
      <c r="C295" s="21" t="str">
        <v>05</v>
      </c>
      <c r="D295" s="21" t="str">
        <v>Common Work Results for Electrical</v>
      </c>
      <c r="E295" s="21" t="str">
        <v>00.10</v>
      </c>
      <c r="F295" s="34" t="str">
        <v>مواد كهرباء</v>
      </c>
      <c r="G295" s="21" t="str">
        <v>Electrical Materials</v>
      </c>
      <c r="H295" s="21">
        <v>61</v>
      </c>
      <c r="I295" s="30" t="str">
        <v>26 05 00.1061</v>
      </c>
      <c r="J295" s="29" t="str">
        <v>موصل اسلاك / واير نوت</v>
      </c>
      <c r="K295" s="42" t="str">
        <v>Wire Connector / Wire Nut</v>
      </c>
      <c r="L295" s="42">
        <v>0</v>
      </c>
    </row>
    <row r="296" spans="1:12" x14ac:dyDescent="0.25">
      <c r="A296" s="30" t="str">
        <v>26</v>
      </c>
      <c r="B296" s="21" t="str">
        <v>Electrical</v>
      </c>
      <c r="C296" s="21" t="str">
        <v>05</v>
      </c>
      <c r="D296" s="21" t="str">
        <v>Common Work Results for Electrical</v>
      </c>
      <c r="E296" s="21" t="str">
        <v>00.10</v>
      </c>
      <c r="F296" s="34" t="str">
        <v>مواد كهرباء</v>
      </c>
      <c r="G296" s="21" t="str">
        <v>Electrical Materials</v>
      </c>
      <c r="H296" s="21">
        <v>62</v>
      </c>
      <c r="I296" s="30" t="str">
        <v>26 05 00.1062</v>
      </c>
      <c r="J296" s="29" t="str">
        <v>غطاء بوكس 7 * 7 * 4.7</v>
      </c>
      <c r="K296" s="42" t="str">
        <v>Box Cover 7x7x4.7 cm</v>
      </c>
      <c r="L296" s="42">
        <v>0</v>
      </c>
    </row>
    <row r="297" spans="1:12" x14ac:dyDescent="0.25">
      <c r="A297" s="30" t="str">
        <v>26</v>
      </c>
      <c r="B297" s="21" t="str">
        <v>Electrical</v>
      </c>
      <c r="C297" s="21" t="str">
        <v>05</v>
      </c>
      <c r="D297" s="21" t="str">
        <v>Common Work Results for Electrical</v>
      </c>
      <c r="E297" s="21" t="str">
        <v>00.10</v>
      </c>
      <c r="F297" s="34" t="str">
        <v>مواد كهرباء</v>
      </c>
      <c r="G297" s="21" t="str">
        <v>Electrical Materials</v>
      </c>
      <c r="H297" s="21">
        <v>63</v>
      </c>
      <c r="I297" s="30" t="str">
        <v>26 05 00.1063</v>
      </c>
      <c r="J297" s="29" t="str">
        <v>غطاء بوكس 7 * 14 * 4.7</v>
      </c>
      <c r="K297" s="42" t="str">
        <v>Box Cover 7x14x4.7 cm</v>
      </c>
      <c r="L297" s="42">
        <v>0</v>
      </c>
    </row>
    <row r="298" spans="1:12" x14ac:dyDescent="0.25">
      <c r="A298" s="30" t="str">
        <v>26</v>
      </c>
      <c r="B298" s="21" t="str">
        <v>Electrical</v>
      </c>
      <c r="C298" s="21" t="str">
        <v>05</v>
      </c>
      <c r="D298" s="21" t="str">
        <v>Common Work Results for Electrical</v>
      </c>
      <c r="E298" s="21" t="str">
        <v>00.10</v>
      </c>
      <c r="F298" s="34" t="str">
        <v>مواد كهرباء</v>
      </c>
      <c r="G298" s="21" t="str">
        <v>Electrical Materials</v>
      </c>
      <c r="H298" s="21">
        <v>64</v>
      </c>
      <c r="I298" s="30" t="str">
        <v>26 05 00.1064</v>
      </c>
      <c r="J298" s="29" t="str">
        <v>غطاء بوكس 10 * 10 *3.5</v>
      </c>
      <c r="K298" s="42" t="str">
        <v>Box Cover 10x10x3.5 cm</v>
      </c>
      <c r="L298" s="42">
        <v>0</v>
      </c>
    </row>
    <row r="299" spans="1:12" x14ac:dyDescent="0.25">
      <c r="A299" s="30" t="str">
        <v>26</v>
      </c>
      <c r="B299" s="21" t="str">
        <v>Electrical</v>
      </c>
      <c r="C299" s="21" t="str">
        <v>05</v>
      </c>
      <c r="D299" s="21" t="str">
        <v>Common Work Results for Electrical</v>
      </c>
      <c r="E299" s="21" t="str">
        <v>00.10</v>
      </c>
      <c r="F299" s="34" t="str">
        <v>مواد كهرباء</v>
      </c>
      <c r="G299" s="21" t="str">
        <v>Electrical Materials</v>
      </c>
      <c r="H299" s="21">
        <v>65</v>
      </c>
      <c r="I299" s="30" t="str">
        <v>26 05 00.1065</v>
      </c>
      <c r="J299" s="29" t="str">
        <v>غطاء بوكس 15 * 15 * 10</v>
      </c>
      <c r="K299" s="42" t="str">
        <v>Box Cover 15x15x10 cm</v>
      </c>
      <c r="L299" s="42">
        <v>0</v>
      </c>
    </row>
    <row r="300" spans="1:12" x14ac:dyDescent="0.25">
      <c r="A300" s="30" t="str">
        <v>26</v>
      </c>
      <c r="B300" s="21" t="str">
        <v>Electrical</v>
      </c>
      <c r="C300" s="21" t="str">
        <v>05</v>
      </c>
      <c r="D300" s="21" t="str">
        <v>Common Work Results for Electrical</v>
      </c>
      <c r="E300" s="21" t="str">
        <v>00.10</v>
      </c>
      <c r="F300" s="34" t="str">
        <v>مواد كهرباء</v>
      </c>
      <c r="G300" s="21" t="str">
        <v>Electrical Materials</v>
      </c>
      <c r="H300" s="21">
        <v>66</v>
      </c>
      <c r="I300" s="30" t="str">
        <v>26 05 00.1066</v>
      </c>
      <c r="J300" s="29" t="str">
        <v>غطاء بوكس 20 * 20 * 5</v>
      </c>
      <c r="K300" s="42" t="str">
        <v>Box Cover 20x20x5 cm</v>
      </c>
      <c r="L300" s="42">
        <v>0</v>
      </c>
    </row>
    <row r="301" spans="1:12" x14ac:dyDescent="0.25">
      <c r="A301" s="30" t="str">
        <v>26</v>
      </c>
      <c r="B301" s="21" t="str">
        <v>Electrical</v>
      </c>
      <c r="C301" s="21" t="str">
        <v>05</v>
      </c>
      <c r="D301" s="21" t="str">
        <v>Common Work Results for Electrical</v>
      </c>
      <c r="E301" s="21" t="str">
        <v>00.10</v>
      </c>
      <c r="F301" s="34" t="str">
        <v>مواد كهرباء</v>
      </c>
      <c r="G301" s="21" t="str">
        <v>Electrical Materials</v>
      </c>
      <c r="H301" s="21">
        <v>67</v>
      </c>
      <c r="I301" s="30" t="str">
        <v>26 05 00.1067</v>
      </c>
      <c r="J301" s="29" t="str">
        <v>غطاء بوكس 20 * 20 * 10</v>
      </c>
      <c r="K301" s="42" t="str">
        <v>Box Cover 20x20x10 cm</v>
      </c>
      <c r="L301" s="42">
        <v>0</v>
      </c>
    </row>
    <row r="302" spans="1:12" x14ac:dyDescent="0.25">
      <c r="A302" s="30" t="str">
        <v>26</v>
      </c>
      <c r="B302" s="21" t="str">
        <v>Electrical</v>
      </c>
      <c r="C302" s="21" t="str">
        <v>05</v>
      </c>
      <c r="D302" s="21" t="str">
        <v>Common Work Results for Electrical</v>
      </c>
      <c r="E302" s="21" t="str">
        <v>00.10</v>
      </c>
      <c r="F302" s="34" t="str">
        <v>مواد كهرباء</v>
      </c>
      <c r="G302" s="21" t="str">
        <v>Electrical Materials</v>
      </c>
      <c r="H302" s="21">
        <v>68</v>
      </c>
      <c r="I302" s="30" t="str">
        <v>26 05 00.1068</v>
      </c>
      <c r="J302" s="29" t="str">
        <v>غطاء بوكس 25 * 25 *10</v>
      </c>
      <c r="K302" s="42" t="str">
        <v>Box Cover 25x25x10 cm</v>
      </c>
      <c r="L302" s="42">
        <v>0</v>
      </c>
    </row>
    <row r="303" spans="1:12" x14ac:dyDescent="0.25">
      <c r="A303" s="30" t="str">
        <v>26</v>
      </c>
      <c r="B303" s="21" t="str">
        <v>Electrical</v>
      </c>
      <c r="C303" s="21" t="str">
        <v>05</v>
      </c>
      <c r="D303" s="21" t="str">
        <v>Common Work Results for Electrical</v>
      </c>
      <c r="E303" s="21" t="str">
        <v>00.10</v>
      </c>
      <c r="F303" s="34" t="str">
        <v>مواد كهرباء</v>
      </c>
      <c r="G303" s="21" t="str">
        <v>Electrical Materials</v>
      </c>
      <c r="H303" s="21">
        <v>69</v>
      </c>
      <c r="I303" s="30" t="str">
        <v>26 05 00.1069</v>
      </c>
      <c r="J303" s="29" t="str">
        <v>غطاء بوكس 30 * 30 *10</v>
      </c>
      <c r="K303" s="42" t="str">
        <v>Box Cover 30x30x10 cm</v>
      </c>
      <c r="L303" s="42">
        <v>0</v>
      </c>
    </row>
    <row r="304" spans="1:12" x14ac:dyDescent="0.25">
      <c r="A304" s="30" t="str">
        <v>26</v>
      </c>
      <c r="B304" s="21" t="str">
        <v>Electrical</v>
      </c>
      <c r="C304" s="21" t="str">
        <v>05</v>
      </c>
      <c r="D304" s="21" t="str">
        <v>Common Work Results for Electrical</v>
      </c>
      <c r="E304" s="21" t="str">
        <v>00.10</v>
      </c>
      <c r="F304" s="34" t="str">
        <v>مواد كهرباء</v>
      </c>
      <c r="G304" s="21" t="str">
        <v>Electrical Materials</v>
      </c>
      <c r="H304" s="21">
        <v>70</v>
      </c>
      <c r="I304" s="30" t="str">
        <v>26 05 00.1070</v>
      </c>
      <c r="J304" s="29" t="str">
        <v>شريط لحام</v>
      </c>
      <c r="K304" s="42" t="str">
        <v>Welding Rod / Solder Wire</v>
      </c>
      <c r="L304" s="42">
        <v>0</v>
      </c>
    </row>
    <row r="305" spans="1:12" x14ac:dyDescent="0.25">
      <c r="A305" s="30" t="str">
        <v>26</v>
      </c>
      <c r="B305" s="21" t="str">
        <v>Electrical</v>
      </c>
      <c r="C305" s="21" t="str">
        <v>05</v>
      </c>
      <c r="D305" s="21" t="str">
        <v>Common Work Results for Electrical</v>
      </c>
      <c r="E305" s="21" t="str">
        <v>00.10</v>
      </c>
      <c r="F305" s="34" t="str">
        <v>مواد كهرباء</v>
      </c>
      <c r="G305" s="21" t="str">
        <v>Electrical Materials</v>
      </c>
      <c r="H305" s="21">
        <v>71</v>
      </c>
      <c r="I305" s="30" t="str">
        <v>26 05 00.1071</v>
      </c>
      <c r="J305" s="29" t="str">
        <v>سلك فايبر / بالمتر</v>
      </c>
      <c r="K305" s="42" t="str">
        <v>Fiber Wire / per meter</v>
      </c>
      <c r="L305" s="42">
        <v>0</v>
      </c>
    </row>
    <row r="306" spans="1:12" x14ac:dyDescent="0.25">
      <c r="A306" s="30" t="str">
        <v>26</v>
      </c>
      <c r="B306" s="21" t="str">
        <v>Electrical</v>
      </c>
      <c r="C306" s="21" t="str">
        <v>05</v>
      </c>
      <c r="D306" s="21" t="str">
        <v>Common Work Results for Electrical</v>
      </c>
      <c r="E306" s="21" t="str">
        <v>00.10</v>
      </c>
      <c r="F306" s="34" t="str">
        <v>مواد كهرباء</v>
      </c>
      <c r="G306" s="21" t="str">
        <v>Electrical Materials</v>
      </c>
      <c r="H306" s="21">
        <v>72</v>
      </c>
      <c r="I306" s="30" t="str">
        <v>26 05 00.1072</v>
      </c>
      <c r="J306" s="29" t="str">
        <v>سلك اصفر 10 مم2 (8 AWG)</v>
      </c>
      <c r="K306" s="42" t="str">
        <v>Yellow Wire 10 mm² (8 AWG)</v>
      </c>
      <c r="L306" s="42">
        <v>0</v>
      </c>
    </row>
    <row r="307" spans="1:12" x14ac:dyDescent="0.25">
      <c r="A307" s="30" t="str">
        <v>26</v>
      </c>
      <c r="B307" s="21" t="str">
        <v>Electrical</v>
      </c>
      <c r="C307" s="21" t="str">
        <v>05</v>
      </c>
      <c r="D307" s="21" t="str">
        <v>Common Work Results for Electrical</v>
      </c>
      <c r="E307" s="21" t="str">
        <v>00.10</v>
      </c>
      <c r="F307" s="34" t="str">
        <v>مواد كهرباء</v>
      </c>
      <c r="G307" s="21" t="str">
        <v>Electrical Materials</v>
      </c>
      <c r="H307" s="21">
        <v>73</v>
      </c>
      <c r="I307" s="30" t="str">
        <v>26 05 00.1073</v>
      </c>
      <c r="J307" s="29" t="str">
        <v>سلك اسود 10 مم2 (8 AWG)</v>
      </c>
      <c r="K307" s="42" t="str">
        <v>Black Wire 10 mm² (8 AWG)</v>
      </c>
      <c r="L307" s="42">
        <v>0</v>
      </c>
    </row>
    <row r="308" spans="1:12" x14ac:dyDescent="0.25">
      <c r="A308" s="30" t="str">
        <v>26</v>
      </c>
      <c r="B308" s="21" t="str">
        <v>Electrical</v>
      </c>
      <c r="C308" s="21" t="str">
        <v>05</v>
      </c>
      <c r="D308" s="21" t="str">
        <v>Common Work Results for Electrical</v>
      </c>
      <c r="E308" s="21" t="str">
        <v>00.10</v>
      </c>
      <c r="F308" s="34" t="str">
        <v>مواد كهرباء</v>
      </c>
      <c r="G308" s="21" t="str">
        <v>Electrical Materials</v>
      </c>
      <c r="H308" s="21">
        <v>74</v>
      </c>
      <c r="I308" s="30" t="str">
        <v>26 05 00.1074</v>
      </c>
      <c r="J308" s="29" t="str">
        <v>سلك احمر 6 مم2 (10 AWG)</v>
      </c>
      <c r="K308" s="42" t="str">
        <v>Red Wire 6 mm² (10 AWG)</v>
      </c>
      <c r="L308" s="42">
        <v>0</v>
      </c>
    </row>
    <row r="309" spans="1:12" x14ac:dyDescent="0.25">
      <c r="A309" s="30" t="str">
        <v>26</v>
      </c>
      <c r="B309" s="21" t="str">
        <v>Electrical</v>
      </c>
      <c r="C309" s="21" t="str">
        <v>05</v>
      </c>
      <c r="D309" s="21" t="str">
        <v>Common Work Results for Electrical</v>
      </c>
      <c r="E309" s="21" t="str">
        <v>00.10</v>
      </c>
      <c r="F309" s="34" t="str">
        <v>مواد كهرباء</v>
      </c>
      <c r="G309" s="21" t="str">
        <v>Electrical Materials</v>
      </c>
      <c r="H309" s="21">
        <v>75</v>
      </c>
      <c r="I309" s="30" t="str">
        <v>26 05 00.1075</v>
      </c>
      <c r="J309" s="29" t="str">
        <v>سلك اصفر 6 مم2 (10 AWG)</v>
      </c>
      <c r="K309" s="42" t="str">
        <v>Yellow Wire 6 mm² (10 AWG)</v>
      </c>
      <c r="L309" s="42">
        <v>0</v>
      </c>
    </row>
    <row r="310" spans="1:12" x14ac:dyDescent="0.25">
      <c r="A310" s="30" t="str">
        <v>26</v>
      </c>
      <c r="B310" s="21" t="str">
        <v>Electrical</v>
      </c>
      <c r="C310" s="21" t="str">
        <v>05</v>
      </c>
      <c r="D310" s="21" t="str">
        <v>Common Work Results for Electrical</v>
      </c>
      <c r="E310" s="21" t="str">
        <v>00.10</v>
      </c>
      <c r="F310" s="34" t="str">
        <v>مواد كهرباء</v>
      </c>
      <c r="G310" s="21" t="str">
        <v>Electrical Materials</v>
      </c>
      <c r="H310" s="21">
        <v>76</v>
      </c>
      <c r="I310" s="30" t="str">
        <v>26 05 00.1076</v>
      </c>
      <c r="J310" s="29" t="str">
        <v>سلك ازرق 6 مم2 (10 AWG)</v>
      </c>
      <c r="K310" s="42" t="str">
        <v>Blue Wire 6 mm² (10 AWG)</v>
      </c>
      <c r="L310" s="42">
        <v>0</v>
      </c>
    </row>
    <row r="311" spans="1:12" x14ac:dyDescent="0.25">
      <c r="A311" s="30" t="str">
        <v>26</v>
      </c>
      <c r="B311" s="21" t="str">
        <v>Electrical</v>
      </c>
      <c r="C311" s="21" t="str">
        <v>05</v>
      </c>
      <c r="D311" s="21" t="str">
        <v>Common Work Results for Electrical</v>
      </c>
      <c r="E311" s="21" t="str">
        <v>00.10</v>
      </c>
      <c r="F311" s="34" t="str">
        <v>مواد كهرباء</v>
      </c>
      <c r="G311" s="21" t="str">
        <v>Electrical Materials</v>
      </c>
      <c r="H311" s="21">
        <v>77</v>
      </c>
      <c r="I311" s="30" t="str">
        <v>26 05 00.1077</v>
      </c>
      <c r="J311" s="29" t="str">
        <v>سلك اسود 6 مم2 (10 AWG)</v>
      </c>
      <c r="K311" s="42" t="str">
        <v>Black Wire 6 mm² (10 AWG)</v>
      </c>
      <c r="L311" s="42">
        <v>0</v>
      </c>
    </row>
    <row r="312" spans="1:12" x14ac:dyDescent="0.25">
      <c r="A312" s="30" t="str">
        <v>26</v>
      </c>
      <c r="B312" s="21" t="str">
        <v>Electrical</v>
      </c>
      <c r="C312" s="21" t="str">
        <v>05</v>
      </c>
      <c r="D312" s="21" t="str">
        <v>Common Work Results for Electrical</v>
      </c>
      <c r="E312" s="21" t="str">
        <v>00.10</v>
      </c>
      <c r="F312" s="34" t="str">
        <v>مواد كهرباء</v>
      </c>
      <c r="G312" s="21" t="str">
        <v>Electrical Materials</v>
      </c>
      <c r="H312" s="21">
        <v>78</v>
      </c>
      <c r="I312" s="30" t="str">
        <v>26 05 00.1078</v>
      </c>
      <c r="J312" s="29" t="str">
        <v>سلك اخضر في اصفر 6 مم2 (10 AWG)</v>
      </c>
      <c r="K312" s="42" t="str">
        <v>Green/Yellow Wire 6 mm² (10 AWG)</v>
      </c>
      <c r="L312" s="42">
        <v>0</v>
      </c>
    </row>
    <row r="313" spans="1:12" x14ac:dyDescent="0.25">
      <c r="A313" s="30" t="str">
        <v>26</v>
      </c>
      <c r="B313" s="21" t="str">
        <v>Electrical</v>
      </c>
      <c r="C313" s="21" t="str">
        <v>05</v>
      </c>
      <c r="D313" s="21" t="str">
        <v>Common Work Results for Electrical</v>
      </c>
      <c r="E313" s="21" t="str">
        <v>00.10</v>
      </c>
      <c r="F313" s="34" t="str">
        <v>مواد كهرباء</v>
      </c>
      <c r="G313" s="21" t="str">
        <v>Electrical Materials</v>
      </c>
      <c r="H313" s="21">
        <v>79</v>
      </c>
      <c r="I313" s="30" t="str">
        <v>26 05 00.1079</v>
      </c>
      <c r="J313" s="29" t="str">
        <v>سلك احمر 4 مم2 (12 AWG)</v>
      </c>
      <c r="K313" s="42" t="str">
        <v>Red Wire 4 mm² (12 AWG)</v>
      </c>
      <c r="L313" s="42">
        <v>0</v>
      </c>
    </row>
    <row r="314" spans="1:12" x14ac:dyDescent="0.25">
      <c r="A314" s="30" t="str">
        <v>26</v>
      </c>
      <c r="B314" s="21" t="str">
        <v>Electrical</v>
      </c>
      <c r="C314" s="21" t="str">
        <v>05</v>
      </c>
      <c r="D314" s="21" t="str">
        <v>Common Work Results for Electrical</v>
      </c>
      <c r="E314" s="21" t="str">
        <v>00.10</v>
      </c>
      <c r="F314" s="34" t="str">
        <v>مواد كهرباء</v>
      </c>
      <c r="G314" s="21" t="str">
        <v>Electrical Materials</v>
      </c>
      <c r="H314" s="21">
        <v>80</v>
      </c>
      <c r="I314" s="30" t="str">
        <v>26 05 00.1080</v>
      </c>
      <c r="J314" s="29" t="str">
        <v>سلك اصفر 4 مم2 (12 AWG)</v>
      </c>
      <c r="K314" s="42" t="str">
        <v>Yellow Wire 4 mm² (12 AWG)</v>
      </c>
      <c r="L314" s="42">
        <v>0</v>
      </c>
    </row>
    <row r="315" spans="1:12" x14ac:dyDescent="0.25">
      <c r="A315" s="30" t="str">
        <v>26</v>
      </c>
      <c r="B315" s="21" t="str">
        <v>Electrical</v>
      </c>
      <c r="C315" s="21" t="str">
        <v>05</v>
      </c>
      <c r="D315" s="21" t="str">
        <v>Common Work Results for Electrical</v>
      </c>
      <c r="E315" s="21" t="str">
        <v>00.10</v>
      </c>
      <c r="F315" s="34" t="str">
        <v>مواد كهرباء</v>
      </c>
      <c r="G315" s="21" t="str">
        <v>Electrical Materials</v>
      </c>
      <c r="H315" s="21">
        <v>81</v>
      </c>
      <c r="I315" s="30" t="str">
        <v>26 05 00.1081</v>
      </c>
      <c r="J315" s="21" t="str">
        <v>سلك ازرق 4 مم2 (12 AWG)</v>
      </c>
      <c r="K315" s="21" t="str">
        <v>Blue Wire 4 mm² (12 AWG)</v>
      </c>
      <c r="L315" s="21">
        <v>0</v>
      </c>
    </row>
    <row r="316" spans="1:12" x14ac:dyDescent="0.25">
      <c r="A316" s="30" t="str">
        <v>26</v>
      </c>
      <c r="B316" s="21" t="str">
        <v>Electrical</v>
      </c>
      <c r="C316" s="21" t="str">
        <v>05</v>
      </c>
      <c r="D316" s="21" t="str">
        <v>Common Work Results for Electrical</v>
      </c>
      <c r="E316" s="21" t="str">
        <v>00.10</v>
      </c>
      <c r="F316" s="34" t="str">
        <v>مواد كهرباء</v>
      </c>
      <c r="G316" s="21" t="str">
        <v>Electrical Materials</v>
      </c>
      <c r="H316" s="21">
        <v>82</v>
      </c>
      <c r="I316" s="21" t="str">
        <v>26 05 00.1082</v>
      </c>
      <c r="J316" s="21" t="str">
        <v>سلك اسود 4 مم2 (12 AWG)</v>
      </c>
      <c r="K316" s="21" t="str">
        <v>Black Wire 4 mm² (12 AWG)</v>
      </c>
      <c r="L316" s="21">
        <v>0</v>
      </c>
    </row>
    <row r="317" spans="1:12" x14ac:dyDescent="0.25">
      <c r="A317" s="30" t="str">
        <v>26</v>
      </c>
      <c r="B317" s="21" t="str">
        <v>Electrical</v>
      </c>
      <c r="C317" s="21" t="str">
        <v>05</v>
      </c>
      <c r="D317" s="21" t="str">
        <v>Common Work Results for Electrical</v>
      </c>
      <c r="E317" s="21" t="str">
        <v>00.10</v>
      </c>
      <c r="F317" s="34" t="str">
        <v>مواد كهرباء</v>
      </c>
      <c r="G317" s="21" t="str">
        <v>Electrical Materials</v>
      </c>
      <c r="H317" s="21">
        <v>83</v>
      </c>
      <c r="I317" s="21" t="str">
        <v>26 05 00.1083</v>
      </c>
      <c r="J317" s="21" t="str">
        <v>سلك اخضر في اصفر 4 مم2 (12 AWG)</v>
      </c>
      <c r="K317" s="21" t="str">
        <v>Green/Yellow Wire 4 mm² (12 AWG)</v>
      </c>
      <c r="L317" s="21">
        <v>0</v>
      </c>
    </row>
    <row r="318" spans="1:12" x14ac:dyDescent="0.25">
      <c r="A318" s="30" t="str">
        <v>26</v>
      </c>
      <c r="B318" s="21" t="str">
        <v>Electrical</v>
      </c>
      <c r="C318" s="21" t="str">
        <v>05</v>
      </c>
      <c r="D318" s="21" t="str">
        <v>Common Work Results for Electrical</v>
      </c>
      <c r="E318" s="21" t="str">
        <v>00.10</v>
      </c>
      <c r="F318" s="34" t="str">
        <v>مواد كهرباء</v>
      </c>
      <c r="G318" s="21" t="str">
        <v>Electrical Materials</v>
      </c>
      <c r="H318" s="21">
        <v>84</v>
      </c>
      <c r="I318" s="30" t="str">
        <v>26 05 00.1084</v>
      </c>
      <c r="J318" s="21" t="str">
        <v>سلك احمر 2.5 مم2 (14 AWG)</v>
      </c>
      <c r="K318" s="21" t="str">
        <v>Red Wire 2.5 mm² (14 AWG)</v>
      </c>
      <c r="L318" s="21">
        <v>0</v>
      </c>
    </row>
    <row r="319" spans="1:12" x14ac:dyDescent="0.25">
      <c r="A319" s="30" t="str">
        <v>26</v>
      </c>
      <c r="B319" s="21" t="str">
        <v>Electrical</v>
      </c>
      <c r="C319" s="21" t="str">
        <v>05</v>
      </c>
      <c r="D319" s="21" t="str">
        <v>Common Work Results for Electrical</v>
      </c>
      <c r="E319" s="21" t="str">
        <v>00.10</v>
      </c>
      <c r="F319" s="34" t="str">
        <v>مواد كهرباء</v>
      </c>
      <c r="G319" s="21" t="str">
        <v>Electrical Materials</v>
      </c>
      <c r="H319" s="21">
        <v>85</v>
      </c>
      <c r="I319" s="21" t="str">
        <v>26 05 00.1085</v>
      </c>
      <c r="J319" s="21" t="str">
        <v>سلك اصفر 2.5 مم2 (14 AWG)</v>
      </c>
      <c r="K319" s="21" t="str">
        <v>Yellow Wire 2.5 mm² (14 AWG)</v>
      </c>
      <c r="L319" s="21">
        <v>0</v>
      </c>
    </row>
    <row r="320" spans="1:12" x14ac:dyDescent="0.25">
      <c r="A320" s="30" t="str">
        <v>26</v>
      </c>
      <c r="B320" s="21" t="str">
        <v>Electrical</v>
      </c>
      <c r="C320" s="21" t="str">
        <v>05</v>
      </c>
      <c r="D320" s="21" t="str">
        <v>Common Work Results for Electrical</v>
      </c>
      <c r="E320" s="21" t="str">
        <v>00.10</v>
      </c>
      <c r="F320" s="34" t="str">
        <v>مواد كهرباء</v>
      </c>
      <c r="G320" s="21" t="str">
        <v>Electrical Materials</v>
      </c>
      <c r="H320" s="21">
        <v>86</v>
      </c>
      <c r="I320" s="21" t="str">
        <v>26 05 00.1086</v>
      </c>
      <c r="J320" s="21" t="str">
        <v>سلك ازرق 2.5 مم2 (14 AWG)</v>
      </c>
      <c r="K320" s="21" t="str">
        <v>Blue Wire 2.5 mm² (14 AWG)</v>
      </c>
      <c r="L320" s="21">
        <v>0</v>
      </c>
    </row>
    <row r="321" spans="1:12" x14ac:dyDescent="0.25">
      <c r="A321" s="30" t="str">
        <v>26</v>
      </c>
      <c r="B321" s="21" t="str">
        <v>Electrical</v>
      </c>
      <c r="C321" s="21" t="str">
        <v>05</v>
      </c>
      <c r="D321" s="21" t="str">
        <v>Common Work Results for Electrical</v>
      </c>
      <c r="E321" s="21" t="str">
        <v>00.10</v>
      </c>
      <c r="F321" s="34" t="str">
        <v>مواد كهرباء</v>
      </c>
      <c r="G321" s="21" t="str">
        <v>Electrical Materials</v>
      </c>
      <c r="H321" s="21">
        <v>87</v>
      </c>
      <c r="I321" s="30" t="str">
        <v>26 05 00.1087</v>
      </c>
      <c r="J321" s="21" t="str">
        <v>سلك اسود 2.5 مم2 (14 AWG)</v>
      </c>
      <c r="K321" s="21" t="str">
        <v>Black Wire 2.5 mm² (14 AWG)</v>
      </c>
      <c r="L321" s="21">
        <v>0</v>
      </c>
    </row>
    <row r="322" spans="1:12" x14ac:dyDescent="0.25">
      <c r="A322" s="30" t="str">
        <v>26</v>
      </c>
      <c r="B322" s="21" t="str">
        <v>Electrical</v>
      </c>
      <c r="C322" s="21" t="str">
        <v>05</v>
      </c>
      <c r="D322" s="21" t="str">
        <v>Common Work Results for Electrical</v>
      </c>
      <c r="E322" s="21" t="str">
        <v>00.10</v>
      </c>
      <c r="F322" s="34" t="str">
        <v>مواد كهرباء</v>
      </c>
      <c r="G322" s="21" t="str">
        <v>Electrical Materials</v>
      </c>
      <c r="H322" s="21">
        <v>88</v>
      </c>
      <c r="I322" s="21" t="str">
        <v>26 05 00.1088</v>
      </c>
      <c r="J322" s="21" t="str">
        <v>سلك اخضر في اصفر 2.5 مم2 (14 AWG)</v>
      </c>
      <c r="K322" s="21" t="str">
        <v>Green/Yellow Wire 2.5 mm² (14 AWG)</v>
      </c>
      <c r="L322" s="21">
        <v>0</v>
      </c>
    </row>
    <row r="323" spans="1:12" x14ac:dyDescent="0.25">
      <c r="A323" s="30" t="str">
        <v>26</v>
      </c>
      <c r="B323" s="21" t="str">
        <v>Electrical</v>
      </c>
      <c r="C323" s="21" t="str">
        <v>05</v>
      </c>
      <c r="D323" s="21" t="str">
        <v>Common Work Results for Electrical</v>
      </c>
      <c r="E323" s="21" t="str">
        <v>00.10</v>
      </c>
      <c r="F323" s="34" t="str">
        <v>مواد كهرباء</v>
      </c>
      <c r="G323" s="21" t="str">
        <v>Electrical Materials</v>
      </c>
      <c r="H323" s="21">
        <v>89</v>
      </c>
      <c r="I323" s="21" t="str">
        <v>26 05 00.1089</v>
      </c>
      <c r="J323" s="21" t="str">
        <v>سلك اخضر في اصفر 1.5 مم2 (14 AWG)</v>
      </c>
      <c r="K323" s="21" t="str">
        <v>Green/Yellow Wire 1.5 mm² (14 AWG)</v>
      </c>
      <c r="L323" s="21">
        <v>0</v>
      </c>
    </row>
    <row r="324" spans="1:12" ht="45" x14ac:dyDescent="0.25">
      <c r="A324" s="30" t="str">
        <v>26</v>
      </c>
      <c r="B324" s="21" t="str">
        <v>Electrical</v>
      </c>
      <c r="C324" s="21" t="str">
        <v>05</v>
      </c>
      <c r="D324" s="21" t="str">
        <v>Common Work Results for Electrical</v>
      </c>
      <c r="E324" s="21" t="str">
        <v>00.10</v>
      </c>
      <c r="F324" s="34" t="str">
        <v>مواد كهرباء</v>
      </c>
      <c r="G324" s="21" t="str">
        <v>Electrical Materials</v>
      </c>
      <c r="H324" s="21">
        <v>90</v>
      </c>
      <c r="I324" s="21" t="str">
        <v>26 05 00.1090</v>
      </c>
      <c r="J324" s="21" t="str">
        <v>كشاف دائري خارجي غير مقاوم 20 وات-هونداي</v>
      </c>
      <c r="K324" s="21" t="str">
        <v>HRSM-20W 4000K SURFACE MOUNTED ROUND ALUMINIUM-HYUNDAI</v>
      </c>
      <c r="L324" s="21">
        <v>0</v>
      </c>
    </row>
    <row r="325" spans="1:12" ht="45" x14ac:dyDescent="0.25">
      <c r="A325" s="30" t="str">
        <v>26</v>
      </c>
      <c r="B325" s="21" t="str">
        <v>Electrical</v>
      </c>
      <c r="C325" s="21" t="str">
        <v>05</v>
      </c>
      <c r="D325" s="21" t="str">
        <v>Common Work Results for Electrical</v>
      </c>
      <c r="E325" s="21" t="str">
        <v>00.10</v>
      </c>
      <c r="F325" s="34" t="str">
        <v>مواد كهرباء</v>
      </c>
      <c r="G325" s="21" t="str">
        <v>Electrical Materials</v>
      </c>
      <c r="H325" s="21">
        <v>91</v>
      </c>
      <c r="I325" s="21" t="str">
        <v>26 05 00.1091</v>
      </c>
      <c r="J325" s="21" t="str">
        <v>كشاف دائري غاطس مقاوم 24 وات-هونداي</v>
      </c>
      <c r="K325" s="21" t="str">
        <v>HDSPL-24W 4000K SPLASH PROOF DOWN LIGHT 2600LM 20CM CUT OUT 220-240V 50/60Hz IP54-HYUNDAI</v>
      </c>
      <c r="L325" s="21">
        <v>0</v>
      </c>
    </row>
    <row r="326" spans="1:12" x14ac:dyDescent="0.25">
      <c r="A326" s="30" t="str">
        <v>26</v>
      </c>
      <c r="B326" s="21" t="str">
        <v>Electrical</v>
      </c>
      <c r="C326" s="21" t="str">
        <v>05</v>
      </c>
      <c r="D326" s="21" t="str">
        <v>Common Work Results for Electrical</v>
      </c>
      <c r="E326" s="21" t="str">
        <v>00.10</v>
      </c>
      <c r="F326" s="34" t="str">
        <v>مواد كهرباء</v>
      </c>
      <c r="G326" s="21" t="str">
        <v>Electrical Materials</v>
      </c>
      <c r="H326" s="21">
        <v>92</v>
      </c>
      <c r="I326" s="21" t="str">
        <v>26 05 00.1092</v>
      </c>
      <c r="J326" s="21" t="str">
        <v>كابل انذار حريق 2*1.5 مم2</v>
      </c>
      <c r="K326" s="21" t="str">
        <v>Fire Alarm Cable 2x1.5 mm²</v>
      </c>
      <c r="L326" s="21">
        <v>0</v>
      </c>
    </row>
    <row r="327" spans="1:12" x14ac:dyDescent="0.25">
      <c r="A327" s="30" t="str">
        <v>26</v>
      </c>
      <c r="B327" s="21" t="str">
        <v>Electrical</v>
      </c>
      <c r="C327" s="21" t="str">
        <v>05</v>
      </c>
      <c r="D327" s="21" t="str">
        <v>Common Work Results for Electrical</v>
      </c>
      <c r="E327" s="21" t="str">
        <v>00.10</v>
      </c>
      <c r="F327" s="34" t="str">
        <v>مواد كهرباء</v>
      </c>
      <c r="G327" s="21" t="str">
        <v>Electrical Materials</v>
      </c>
      <c r="H327" s="21">
        <v>93</v>
      </c>
      <c r="I327" s="21" t="str">
        <v>26 05 00.1093</v>
      </c>
      <c r="J327" s="21" t="str">
        <v>كابل انذار حريق 2*2.5 مم2</v>
      </c>
      <c r="K327" s="21" t="str">
        <v>Fire Alarm Cable 2x2.5 mm²</v>
      </c>
      <c r="L327" s="21">
        <v>0</v>
      </c>
    </row>
    <row r="328" spans="1:12" x14ac:dyDescent="0.25">
      <c r="A328" s="30" t="str">
        <v>26</v>
      </c>
      <c r="B328" s="21" t="str">
        <v>Electrical</v>
      </c>
      <c r="C328" s="21" t="str">
        <v>05</v>
      </c>
      <c r="D328" s="21" t="str">
        <v>Common Work Results for Electrical</v>
      </c>
      <c r="E328" s="21" t="str">
        <v>00.10</v>
      </c>
      <c r="F328" s="34" t="str">
        <v>مواد كهرباء</v>
      </c>
      <c r="G328" s="21" t="str">
        <v>Electrical Materials</v>
      </c>
      <c r="H328" s="21" t="str">
        <v>94</v>
      </c>
      <c r="I328" s="21" t="str">
        <v>26 05 00.1094</v>
      </c>
      <c r="J328" s="21" t="str">
        <v>ماسورة 75 مم  كلاس 3</v>
      </c>
      <c r="K328" s="21" t="str">
        <v>75 mm CLASS 3 PVC PIPE ,6MTR</v>
      </c>
      <c r="L328" s="21">
        <v>0</v>
      </c>
    </row>
    <row r="329" spans="1:12" x14ac:dyDescent="0.25">
      <c r="A329" s="30" t="str">
        <v>26</v>
      </c>
      <c r="B329" s="21" t="str">
        <v>Electrical</v>
      </c>
      <c r="C329" s="21" t="str">
        <v>05</v>
      </c>
      <c r="D329" s="21" t="str">
        <v>Common Work Results for Electrical</v>
      </c>
      <c r="E329" s="21" t="str">
        <v>00.10</v>
      </c>
      <c r="F329" s="34" t="str">
        <v>مواد كهرباء</v>
      </c>
      <c r="G329" s="21">
        <v>0</v>
      </c>
      <c r="H329" s="21" t="str">
        <v>95</v>
      </c>
      <c r="I329" s="21" t="str">
        <v>26 05 00.1095</v>
      </c>
      <c r="J329" s="21" t="str">
        <v>ادابتور بلاستيك جانبي 20 مم</v>
      </c>
      <c r="K329" s="21" t="str">
        <v>BLACK SIDE CONNECTOR (20 MM)</v>
      </c>
      <c r="L329" s="21" t="str">
        <v>EA</v>
      </c>
    </row>
    <row r="330" spans="1:12" x14ac:dyDescent="0.25">
      <c r="A330" s="30" t="str">
        <v>26</v>
      </c>
      <c r="B330" s="21" t="str">
        <v>Electrical</v>
      </c>
      <c r="C330" s="21" t="str">
        <v>05</v>
      </c>
      <c r="D330" s="21" t="str">
        <v>Common Work Results for Electrical</v>
      </c>
      <c r="E330" s="21" t="str">
        <v>00.10</v>
      </c>
      <c r="F330" s="34" t="str">
        <v>مواد كهرباء</v>
      </c>
      <c r="G330" s="21">
        <v>0</v>
      </c>
      <c r="H330" s="21" t="str">
        <v>96</v>
      </c>
      <c r="I330" s="21" t="str">
        <v>26 05 00.1096</v>
      </c>
      <c r="J330" s="21" t="str">
        <v>ادابتور بلاستيك جانبي 25 مم</v>
      </c>
      <c r="K330" s="21" t="str">
        <v>BLACK SIDE CONNECTOR (25 MM)</v>
      </c>
      <c r="L330" s="21" t="str">
        <v>EA</v>
      </c>
    </row>
    <row r="331" spans="1:12" x14ac:dyDescent="0.25">
      <c r="A331" s="30" t="str">
        <v>26</v>
      </c>
      <c r="B331" s="21" t="str">
        <v>Electrical</v>
      </c>
      <c r="C331" s="21" t="str">
        <v>05</v>
      </c>
      <c r="D331" s="21" t="str">
        <v>Common Work Results for Electrical</v>
      </c>
      <c r="E331" s="21" t="str">
        <v>00.10</v>
      </c>
      <c r="F331" s="34" t="str">
        <v>مواد كهرباء</v>
      </c>
      <c r="G331" s="21">
        <v>0</v>
      </c>
      <c r="H331" s="21" t="str">
        <v>97</v>
      </c>
      <c r="I331" s="21" t="str">
        <v>26 05 00.1097</v>
      </c>
      <c r="J331" s="21" t="str">
        <v>لفة فليكسبل بلاستيك مقاس 2"</v>
      </c>
      <c r="K331" s="21" t="str">
        <v>PVC FLEXIBLE CONDUIT 2''</v>
      </c>
      <c r="L331" s="21" t="str">
        <v>ROLL</v>
      </c>
    </row>
    <row r="332" spans="1:12" x14ac:dyDescent="0.25">
      <c r="A332" s="30">
        <v>0</v>
      </c>
      <c r="B332" s="21">
        <v>0</v>
      </c>
      <c r="C332" s="21">
        <v>0</v>
      </c>
      <c r="D332" s="21">
        <v>0</v>
      </c>
      <c r="E332" s="21">
        <v>0</v>
      </c>
      <c r="F332" s="34">
        <v>0</v>
      </c>
      <c r="G332" s="21">
        <v>0</v>
      </c>
      <c r="H332" s="21">
        <v>0</v>
      </c>
      <c r="I332" s="21">
        <v>0</v>
      </c>
      <c r="J332" s="21">
        <v>0</v>
      </c>
      <c r="K332" s="21">
        <v>0</v>
      </c>
      <c r="L332" s="21">
        <v>0</v>
      </c>
    </row>
    <row r="333" spans="1:12" x14ac:dyDescent="0.25">
      <c r="A333" s="30" t="str">
        <v>26</v>
      </c>
      <c r="B333" s="21" t="str">
        <v>Electrical</v>
      </c>
      <c r="C333" s="21" t="str">
        <v>05</v>
      </c>
      <c r="D333" s="21" t="str">
        <v>Common Work Results for Electrical</v>
      </c>
      <c r="E333" s="21" t="str">
        <v>00.10</v>
      </c>
      <c r="F333" s="34" t="str">
        <v>مواد كهرباء</v>
      </c>
      <c r="G333" s="21">
        <v>0</v>
      </c>
      <c r="H333" s="21" t="str">
        <v>99</v>
      </c>
      <c r="I333" s="21" t="str">
        <v>26 05 00.1099</v>
      </c>
      <c r="J333" s="21" t="str">
        <v>جلبة مقاس 150 مم2</v>
      </c>
      <c r="K333" s="21" t="str">
        <v>150 mm CLASS 3 PVC COUPLING</v>
      </c>
      <c r="L333" s="21" t="str">
        <v>EA</v>
      </c>
    </row>
    <row r="334" spans="1:12" x14ac:dyDescent="0.25">
      <c r="A334" s="30" t="str">
        <v>26</v>
      </c>
      <c r="B334" s="21" t="str">
        <v>Electrical</v>
      </c>
      <c r="C334" s="21" t="str">
        <v>05</v>
      </c>
      <c r="D334" s="21" t="str">
        <v>Common Work Results for Electrical</v>
      </c>
      <c r="E334" s="21" t="str">
        <v>00.10</v>
      </c>
      <c r="F334" s="34" t="str">
        <v>مواد كهرباء</v>
      </c>
      <c r="G334" s="21">
        <v>0</v>
      </c>
      <c r="H334" s="21" t="str">
        <v>100</v>
      </c>
      <c r="I334" s="21" t="str">
        <v>26 05 00.10100</v>
      </c>
      <c r="J334" s="21" t="str">
        <v>جلبة مقاس 110 مم2</v>
      </c>
      <c r="K334" s="21" t="str">
        <v>110 mm CLASS 3 PVC COUPLING</v>
      </c>
      <c r="L334" s="21" t="str">
        <v>EA</v>
      </c>
    </row>
    <row r="335" spans="1:12" x14ac:dyDescent="0.25">
      <c r="A335" s="30" t="str">
        <v>26</v>
      </c>
      <c r="B335" s="21" t="str">
        <v>Electrical</v>
      </c>
      <c r="C335" s="21" t="str">
        <v>05</v>
      </c>
      <c r="D335" s="21" t="str">
        <v>Common Work Results for Electrical</v>
      </c>
      <c r="E335" s="21" t="str">
        <v>00.10</v>
      </c>
      <c r="F335" s="34" t="str">
        <v>مواد كهرباء</v>
      </c>
      <c r="G335" s="21">
        <v>0</v>
      </c>
      <c r="H335" s="21" t="str">
        <v>101</v>
      </c>
      <c r="I335" s="21" t="str">
        <v>26 05 00.10101</v>
      </c>
      <c r="J335" s="21" t="str">
        <v>جلبة مقاس 20 مم2</v>
      </c>
      <c r="K335" s="21" t="str">
        <v>20 mm CLASS 3 PVC COUPLING</v>
      </c>
      <c r="L335" s="21" t="str">
        <v>EA</v>
      </c>
    </row>
    <row r="336" spans="1:12" x14ac:dyDescent="0.25">
      <c r="A336" s="30">
        <v>0</v>
      </c>
      <c r="B336" s="21">
        <v>0</v>
      </c>
      <c r="C336" s="21">
        <v>0</v>
      </c>
      <c r="D336" s="21">
        <v>0</v>
      </c>
      <c r="E336" s="21">
        <v>0</v>
      </c>
      <c r="F336" s="34"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</row>
    <row r="337" spans="1:12" x14ac:dyDescent="0.25">
      <c r="A337" s="30" t="str">
        <v>26</v>
      </c>
      <c r="B337" s="21" t="str">
        <v>Electrical</v>
      </c>
      <c r="C337" s="21" t="str">
        <v>05</v>
      </c>
      <c r="D337" s="21" t="str">
        <v>Common Work Results for Electrical</v>
      </c>
      <c r="E337" s="21" t="str">
        <v>00.10</v>
      </c>
      <c r="F337" s="34" t="str">
        <v>مواد كهرباء</v>
      </c>
      <c r="G337" s="21">
        <v>0</v>
      </c>
      <c r="H337" s="21" t="str">
        <v>103</v>
      </c>
      <c r="I337" s="21" t="str">
        <v>26 05 00.10103</v>
      </c>
      <c r="J337" s="21" t="str">
        <v>غطاء بوكس معدن مقاس (2"X 4") CM</v>
      </c>
      <c r="K337" s="21" t="str">
        <v>EMT BOX COVER (2"X 4") CM</v>
      </c>
      <c r="L337" s="21" t="str">
        <v>EA</v>
      </c>
    </row>
    <row r="338" spans="1:12" x14ac:dyDescent="0.25">
      <c r="A338" s="30" t="str">
        <v>26</v>
      </c>
      <c r="B338" s="21" t="str">
        <v>Electrical</v>
      </c>
      <c r="C338" s="21" t="str">
        <v>05</v>
      </c>
      <c r="D338" s="21" t="str">
        <v>Common Work Results for Electrical</v>
      </c>
      <c r="E338" s="21" t="str">
        <v>00.10</v>
      </c>
      <c r="F338" s="34" t="str">
        <v>مواد كهرباء</v>
      </c>
      <c r="G338" s="21">
        <v>0</v>
      </c>
      <c r="H338" s="21" t="str">
        <v>104</v>
      </c>
      <c r="I338" s="21" t="str">
        <v>26 05 00.10104</v>
      </c>
      <c r="J338" s="21" t="str">
        <v>علبة مسامير طول 5 سم</v>
      </c>
      <c r="K338" s="21" t="str">
        <v xml:space="preserve">	Nail Box / Nail Carton 5 cm length</v>
      </c>
      <c r="L338" s="21" t="str">
        <v>EA</v>
      </c>
    </row>
    <row r="339" spans="1:12" x14ac:dyDescent="0.25">
      <c r="A339" s="30">
        <v>0</v>
      </c>
      <c r="B339" s="21">
        <v>0</v>
      </c>
      <c r="C339" s="21">
        <v>0</v>
      </c>
      <c r="D339" s="21">
        <v>0</v>
      </c>
      <c r="E339" s="21">
        <v>0</v>
      </c>
      <c r="F339" s="34"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</row>
    <row r="340" spans="1:12" ht="30" x14ac:dyDescent="0.25">
      <c r="A340" s="30" t="str">
        <v>26</v>
      </c>
      <c r="B340" s="21" t="str">
        <v>Electrical</v>
      </c>
      <c r="C340" s="21" t="str">
        <v>05</v>
      </c>
      <c r="D340" s="21" t="str">
        <v>Common Work Results for Electrical</v>
      </c>
      <c r="E340" s="21" t="str">
        <v>00.10</v>
      </c>
      <c r="F340" s="34" t="str">
        <v>مواد كهرباء</v>
      </c>
      <c r="G340" s="21">
        <v>0</v>
      </c>
      <c r="H340" s="21" t="str">
        <v>106</v>
      </c>
      <c r="I340" s="21" t="str">
        <v>26 05 00.10106</v>
      </c>
      <c r="J340" s="21" t="str">
        <v>كابل نحاس ثرموبلاستيك 3*4 مم2</v>
      </c>
      <c r="K340" s="21" t="str">
        <v>Thermo Plastic Copper Cable With CSA (3*4)mm3</v>
      </c>
      <c r="L340" s="21" t="str">
        <v>MTR</v>
      </c>
    </row>
    <row r="341" spans="1:12" x14ac:dyDescent="0.25">
      <c r="A341" s="30" t="str">
        <v>26</v>
      </c>
      <c r="B341" s="21" t="str">
        <v>Electrical</v>
      </c>
      <c r="C341" s="21" t="str">
        <v>05</v>
      </c>
      <c r="D341" s="21" t="str">
        <v>Common Work Results for Electrical</v>
      </c>
      <c r="E341" s="21" t="str">
        <v>00.10</v>
      </c>
      <c r="F341" s="34" t="str">
        <v>مواد كهرباء</v>
      </c>
      <c r="G341" s="21">
        <v>0</v>
      </c>
      <c r="H341" s="21" t="str">
        <v>107</v>
      </c>
      <c r="I341" s="21" t="str">
        <v>26 05 00.10107</v>
      </c>
      <c r="J341" s="21" t="str">
        <v>كلامب نحاس حرف U</v>
      </c>
      <c r="K341" s="21" t="str">
        <v>‘U’ Bolt Rod Clamp (Type GUV)</v>
      </c>
      <c r="L341" s="21" t="str">
        <v>EA</v>
      </c>
    </row>
    <row r="342" spans="1:12" ht="30" x14ac:dyDescent="0.25">
      <c r="A342" s="30" t="str">
        <v>26</v>
      </c>
      <c r="B342" s="21" t="str">
        <v>Electrical</v>
      </c>
      <c r="C342" s="21" t="str">
        <v>05</v>
      </c>
      <c r="D342" s="21" t="str">
        <v>Common Work Results for Electrical</v>
      </c>
      <c r="E342" s="21" t="str">
        <v>00.10</v>
      </c>
      <c r="F342" s="34" t="str">
        <v>مواد كهرباء</v>
      </c>
      <c r="G342" s="21">
        <v>0</v>
      </c>
      <c r="H342" s="21" t="str">
        <v>108</v>
      </c>
      <c r="I342" s="21" t="str">
        <v>26 05 00.10108</v>
      </c>
      <c r="J342" s="21" t="str">
        <v>كابل نحاس (4*10) مم2</v>
      </c>
      <c r="K342" s="21" t="str">
        <v xml:space="preserve"> Cable With (4*10) mm2 CU/XLPE/PVC</v>
      </c>
      <c r="L342" s="21" t="str">
        <v>MTR</v>
      </c>
    </row>
    <row r="343" spans="1:12" ht="30" x14ac:dyDescent="0.25">
      <c r="A343" s="30" t="str">
        <v>26</v>
      </c>
      <c r="B343" s="21" t="str">
        <v>Electrical</v>
      </c>
      <c r="C343" s="21" t="str">
        <v>05</v>
      </c>
      <c r="D343" s="21" t="str">
        <v>Common Work Results for Electrical</v>
      </c>
      <c r="E343" s="21" t="str">
        <v>00.10</v>
      </c>
      <c r="F343" s="34" t="str">
        <v>مواد كهرباء</v>
      </c>
      <c r="G343" s="21">
        <v>0</v>
      </c>
      <c r="H343" s="21" t="str">
        <v>109</v>
      </c>
      <c r="I343" s="21" t="str">
        <v>26 05 00.10109</v>
      </c>
      <c r="J343" s="21" t="str">
        <v>كابل نحاس (4*70) مم2</v>
      </c>
      <c r="K343" s="21" t="str">
        <v xml:space="preserve"> Cable With (4*70) mm2 CU/XLPE/PVC</v>
      </c>
      <c r="L343" s="21" t="str">
        <v>MTR</v>
      </c>
    </row>
    <row r="344" spans="1:12" x14ac:dyDescent="0.25">
      <c r="A344" s="30" t="str">
        <v>26</v>
      </c>
      <c r="B344" s="21" t="str">
        <v>Electrical</v>
      </c>
      <c r="C344" s="21" t="str">
        <v>05</v>
      </c>
      <c r="D344" s="21" t="str">
        <v>Common Work Results for Electrical</v>
      </c>
      <c r="E344" s="21" t="str">
        <v>00.10</v>
      </c>
      <c r="F344" s="34" t="str">
        <v>مواد كهرباء</v>
      </c>
      <c r="G344" s="21">
        <v>0</v>
      </c>
      <c r="H344" s="21" t="str">
        <v>110</v>
      </c>
      <c r="I344" s="21" t="str">
        <v>26 05 00.10110</v>
      </c>
      <c r="J344" s="21" t="str">
        <v>كوسة نحاس (70) مم2</v>
      </c>
      <c r="K344" s="21" t="str">
        <v>COPPER LUG WITH CSA 70 mm2</v>
      </c>
      <c r="L344" s="21" t="str">
        <v>EA</v>
      </c>
    </row>
    <row r="345" spans="1:12" x14ac:dyDescent="0.25">
      <c r="A345" s="30" t="str">
        <v>26</v>
      </c>
      <c r="B345" s="21" t="str">
        <v>Electrical</v>
      </c>
      <c r="C345" s="21" t="str">
        <v>05</v>
      </c>
      <c r="D345" s="21" t="str">
        <v>Common Work Results for Electrical</v>
      </c>
      <c r="E345" s="21" t="str">
        <v>00.10</v>
      </c>
      <c r="F345" s="34" t="str">
        <v>مواد كهرباء</v>
      </c>
      <c r="G345" s="21">
        <v>0</v>
      </c>
      <c r="H345" s="21" t="str">
        <v>111</v>
      </c>
      <c r="I345" s="21" t="str">
        <v>26 05 00.10111</v>
      </c>
      <c r="J345" s="21" t="str">
        <v>كوسة نحاس (35) مم2</v>
      </c>
      <c r="K345" s="21" t="str">
        <v>COPPER LUG WITH CSA 35 mm2</v>
      </c>
      <c r="L345" s="21" t="str">
        <v>EA</v>
      </c>
    </row>
    <row r="346" spans="1:12" x14ac:dyDescent="0.25">
      <c r="A346" s="30" t="str">
        <v>26</v>
      </c>
      <c r="B346" s="21" t="str">
        <v>Electrical</v>
      </c>
      <c r="C346" s="21" t="str">
        <v>05</v>
      </c>
      <c r="D346" s="21" t="str">
        <v>Common Work Results for Electrical</v>
      </c>
      <c r="E346" s="21" t="str">
        <v>00.10</v>
      </c>
      <c r="F346" s="34" t="str">
        <v>مواد كهرباء</v>
      </c>
      <c r="G346" s="21">
        <v>0</v>
      </c>
      <c r="H346" s="21" t="str">
        <v>112</v>
      </c>
      <c r="I346" s="21" t="str">
        <v>26 05 00.10112</v>
      </c>
      <c r="J346" s="21" t="str">
        <v>جهاز قياس كهرباء رقمي</v>
      </c>
      <c r="K346" s="21" t="str">
        <v>Digital Multimeter</v>
      </c>
      <c r="L346" s="21" t="str">
        <v>EA</v>
      </c>
    </row>
    <row r="347" spans="1:12" x14ac:dyDescent="0.25">
      <c r="A347" s="30" t="str">
        <v>26</v>
      </c>
      <c r="B347" s="21" t="str">
        <v>Electrical</v>
      </c>
      <c r="C347" s="21" t="str">
        <v>05</v>
      </c>
      <c r="D347" s="21" t="str">
        <v>Common Work Results for Electrical</v>
      </c>
      <c r="E347" s="21" t="str">
        <v>00.10</v>
      </c>
      <c r="F347" s="34" t="str">
        <v>مواد كهرباء</v>
      </c>
      <c r="G347" s="21">
        <v>0</v>
      </c>
      <c r="H347" s="21" t="str">
        <v>113</v>
      </c>
      <c r="I347" s="21" t="str">
        <v>26 05 00.10113</v>
      </c>
      <c r="J347" s="21" t="str">
        <v>جهاز قياس تيار كهربائي رقمي (كلامب)</v>
      </c>
      <c r="K347" s="21" t="str">
        <v>Digital Clamp Meter</v>
      </c>
      <c r="L347" s="21" t="str">
        <v>EA</v>
      </c>
    </row>
    <row r="348" spans="1:12" x14ac:dyDescent="0.25">
      <c r="A348" s="30" t="str">
        <v>26</v>
      </c>
      <c r="B348" s="21" t="str">
        <v>Electrical</v>
      </c>
      <c r="C348" s="21" t="str">
        <v>05</v>
      </c>
      <c r="D348" s="21" t="str">
        <v>Common Work Results for Electrical</v>
      </c>
      <c r="E348" s="21" t="str">
        <v>00.10</v>
      </c>
      <c r="F348" s="34" t="str">
        <v>مواد كهرباء</v>
      </c>
      <c r="G348" s="21">
        <v>0</v>
      </c>
      <c r="H348" s="21" t="str">
        <v>114</v>
      </c>
      <c r="I348" s="21" t="str">
        <v>26 05 00.10114</v>
      </c>
      <c r="J348" s="21" t="str">
        <v>ميزان ليزر</v>
      </c>
      <c r="K348" s="21" t="str">
        <v>Laser Level</v>
      </c>
      <c r="L348" s="21" t="str">
        <v>EA</v>
      </c>
    </row>
    <row r="349" spans="1:12" x14ac:dyDescent="0.25">
      <c r="A349" s="30" t="str">
        <v>26</v>
      </c>
      <c r="B349" s="21" t="str">
        <v>Electrical</v>
      </c>
      <c r="C349" s="21" t="str">
        <v>05</v>
      </c>
      <c r="D349" s="21" t="str">
        <v>Common Work Results for Electrical</v>
      </c>
      <c r="E349" s="21" t="str">
        <v>00.10</v>
      </c>
      <c r="F349" s="34" t="str">
        <v>مواد كهرباء</v>
      </c>
      <c r="G349" s="21">
        <v>0</v>
      </c>
      <c r="H349" s="21" t="str">
        <v>115</v>
      </c>
      <c r="I349" s="30" t="str">
        <v>26 05 00.10115</v>
      </c>
      <c r="J349" s="21" t="str">
        <v>صاروخ كبير مقاس 9 بوصة</v>
      </c>
      <c r="K349" s="21" t="str">
        <v>Large Angle Grinder 9 inch</v>
      </c>
      <c r="L349" s="21" t="str">
        <v>EA</v>
      </c>
    </row>
    <row r="350" spans="1:12" x14ac:dyDescent="0.25">
      <c r="A350" s="30" t="str">
        <v>26</v>
      </c>
      <c r="B350" s="21" t="str">
        <v>Electrical</v>
      </c>
      <c r="C350" s="21" t="str">
        <v>05</v>
      </c>
      <c r="D350" s="21" t="str">
        <v>Common Work Results for Electrical</v>
      </c>
      <c r="E350" s="21" t="str">
        <v>00.10</v>
      </c>
      <c r="F350" s="34" t="str">
        <v>مواد كهرباء</v>
      </c>
      <c r="G350" s="21">
        <v>0</v>
      </c>
      <c r="H350" s="21" t="str">
        <v>116</v>
      </c>
      <c r="I350" s="21" t="str">
        <v>26 05 00.10116</v>
      </c>
      <c r="J350" s="21" t="str">
        <v>صاروخ صغير مقاس 5 بوصة</v>
      </c>
      <c r="K350" s="21" t="str">
        <v>Small Angle Grinder 5 inch</v>
      </c>
      <c r="L350" s="21" t="str">
        <v>EA</v>
      </c>
    </row>
    <row r="351" spans="1:12" x14ac:dyDescent="0.25">
      <c r="A351" s="30" t="str">
        <v>26</v>
      </c>
      <c r="B351" s="21" t="str">
        <v>Electrical</v>
      </c>
      <c r="C351" s="21" t="str">
        <v>05</v>
      </c>
      <c r="D351" s="21" t="str">
        <v>Common Work Results for Electrical</v>
      </c>
      <c r="E351" s="21" t="str">
        <v>00.10</v>
      </c>
      <c r="F351" s="34" t="str">
        <v>مواد كهرباء</v>
      </c>
      <c r="G351" s="21">
        <v>0</v>
      </c>
      <c r="H351" s="21" t="str">
        <v>117</v>
      </c>
      <c r="I351" s="21" t="str">
        <v>26 05 00.10117</v>
      </c>
      <c r="J351" s="21" t="str">
        <v>ماكيتة شحن كهرباء</v>
      </c>
      <c r="K351" s="21" t="str">
        <v>Battery Charger</v>
      </c>
      <c r="L351" s="21" t="str">
        <v>EA</v>
      </c>
    </row>
    <row r="352" spans="1:12" x14ac:dyDescent="0.25">
      <c r="A352" s="30" t="str">
        <v>26</v>
      </c>
      <c r="B352" s="21" t="str">
        <v>Electrical</v>
      </c>
      <c r="C352" s="21" t="str">
        <v>05</v>
      </c>
      <c r="D352" s="21" t="str">
        <v>Common Work Results for Electrical</v>
      </c>
      <c r="E352" s="21" t="str">
        <v>00.10</v>
      </c>
      <c r="F352" s="34" t="str">
        <v>مواد كهرباء</v>
      </c>
      <c r="G352" s="21">
        <v>0</v>
      </c>
      <c r="H352" s="21" t="str">
        <v>118</v>
      </c>
      <c r="I352" s="21" t="str">
        <v>26 05 00.10118</v>
      </c>
      <c r="J352" s="21" t="str">
        <v>جاك هامر</v>
      </c>
      <c r="K352" s="21" t="str">
        <v>Jack Hammer</v>
      </c>
      <c r="L352" s="21" t="str">
        <v>EA</v>
      </c>
    </row>
    <row r="353" spans="1:12" ht="30" x14ac:dyDescent="0.25">
      <c r="A353" s="30" t="str">
        <v>26</v>
      </c>
      <c r="B353" s="21" t="str">
        <v>Electrical</v>
      </c>
      <c r="C353" s="21" t="str">
        <v>05</v>
      </c>
      <c r="D353" s="21" t="str">
        <v>Common Work Results for Electrical</v>
      </c>
      <c r="E353" s="21" t="str">
        <v>00.10</v>
      </c>
      <c r="F353" s="34" t="str">
        <v>مواد كهرباء</v>
      </c>
      <c r="G353" s="21">
        <v>0</v>
      </c>
      <c r="H353" s="21" t="str">
        <v>119</v>
      </c>
      <c r="I353" s="21" t="str">
        <v>26 05 00.10119</v>
      </c>
      <c r="J353" s="21" t="str">
        <v>هيلتي تكسير كبير</v>
      </c>
      <c r="K353" s="21" t="str">
        <v>Large Demolition Hammer / Large Hilti Breaker</v>
      </c>
      <c r="L353" s="21" t="str">
        <v>EA</v>
      </c>
    </row>
    <row r="354" spans="1:12" x14ac:dyDescent="0.25">
      <c r="A354" s="30" t="str">
        <v>26</v>
      </c>
      <c r="B354" s="21" t="str">
        <v>Electrical</v>
      </c>
      <c r="C354" s="21" t="str">
        <v>05</v>
      </c>
      <c r="D354" s="21" t="str">
        <v>Common Work Results for Electrical</v>
      </c>
      <c r="E354" s="21" t="str">
        <v>00.10</v>
      </c>
      <c r="F354" s="34" t="str">
        <v>مواد كهرباء</v>
      </c>
      <c r="G354" s="21">
        <v>0</v>
      </c>
      <c r="H354" s="21" t="str">
        <v>120</v>
      </c>
      <c r="I354" s="21" t="str">
        <v>26 05 00.10120</v>
      </c>
      <c r="J354" s="21" t="str">
        <v>مفاتيح لقم مقاس ( من 10 مم الى 24 )</v>
      </c>
      <c r="K354" s="21" t="str">
        <v>Socket Wrench Set (10 mm to 24 mm)</v>
      </c>
      <c r="L354" s="21" t="str">
        <v>EA</v>
      </c>
    </row>
    <row r="355" spans="1:12" ht="30" x14ac:dyDescent="0.25">
      <c r="A355" s="30" t="str">
        <v>26</v>
      </c>
      <c r="B355" s="21" t="str">
        <v>Electrical</v>
      </c>
      <c r="C355" s="21" t="str">
        <v>05</v>
      </c>
      <c r="D355" s="21" t="str">
        <v>Common Work Results for Electrical</v>
      </c>
      <c r="E355" s="21" t="str">
        <v>00.10</v>
      </c>
      <c r="F355" s="34" t="str">
        <v>مواد كهرباء</v>
      </c>
      <c r="G355" s="21">
        <v>0</v>
      </c>
      <c r="H355" s="21" t="str">
        <v>121</v>
      </c>
      <c r="I355" s="30" t="str">
        <v>26 05 00.10121</v>
      </c>
      <c r="J355" s="21" t="str">
        <v>مفاتيح عادي مقاس ( من 10 مم الى 24 )</v>
      </c>
      <c r="K355" s="21" t="str">
        <v>Open-End Wrench Set (10 mm to 24 mm)</v>
      </c>
      <c r="L355" s="21" t="str">
        <v>EA</v>
      </c>
    </row>
    <row r="356" spans="1:12" x14ac:dyDescent="0.25">
      <c r="A356" s="30" t="str">
        <v>26</v>
      </c>
      <c r="B356" s="21" t="str">
        <v>Electrical</v>
      </c>
      <c r="C356" s="21" t="str">
        <v>05</v>
      </c>
      <c r="D356" s="21" t="str">
        <v>Common Work Results for Electrical</v>
      </c>
      <c r="E356" s="21" t="str">
        <v>00.10</v>
      </c>
      <c r="F356" s="34" t="str">
        <v>مواد كهرباء</v>
      </c>
      <c r="G356" s="21">
        <v>0</v>
      </c>
      <c r="H356" s="21" t="str">
        <v>122</v>
      </c>
      <c r="I356" s="21" t="str">
        <v>26 05 00.10122</v>
      </c>
      <c r="J356" s="21" t="str">
        <v>خواشات كوباية مقاس (من 20 الى 75 مم)</v>
      </c>
      <c r="K356" s="21" t="str">
        <v>Cup Brushes (20 mm to 75 mm)</v>
      </c>
      <c r="L356" s="21" t="str">
        <v>EA</v>
      </c>
    </row>
    <row r="357" spans="1:12" x14ac:dyDescent="0.25">
      <c r="A357" s="30" t="str">
        <v>26</v>
      </c>
      <c r="B357" s="21" t="str">
        <v>Electrical</v>
      </c>
      <c r="C357" s="21" t="str">
        <v>05</v>
      </c>
      <c r="D357" s="21" t="str">
        <v>Common Work Results for Electrical</v>
      </c>
      <c r="E357" s="21" t="str">
        <v>00.10</v>
      </c>
      <c r="F357" s="34" t="str">
        <v>مواد كهرباء</v>
      </c>
      <c r="G357" s="21">
        <v>0</v>
      </c>
      <c r="H357" s="21" t="str">
        <v>123</v>
      </c>
      <c r="I357" s="21" t="str">
        <v>26 05 00.10123</v>
      </c>
      <c r="J357" s="21" t="str">
        <v>بنطة تكسير في الخرسانة مقاس 25 مم</v>
      </c>
      <c r="K357" s="21" t="str">
        <v>Concrete Breaker Bit 25 mm</v>
      </c>
      <c r="L357" s="21" t="str">
        <v>EA</v>
      </c>
    </row>
    <row r="358" spans="1:12" x14ac:dyDescent="0.25">
      <c r="A358" s="30" t="str">
        <v>26</v>
      </c>
      <c r="B358" s="21" t="str">
        <v>Electrical</v>
      </c>
      <c r="C358" s="21" t="str">
        <v>05</v>
      </c>
      <c r="D358" s="21" t="str">
        <v>Common Work Results for Electrical</v>
      </c>
      <c r="E358" s="21" t="str">
        <v>00.10</v>
      </c>
      <c r="F358" s="34" t="str">
        <v>مواد كهرباء</v>
      </c>
      <c r="G358" s="21">
        <v>0</v>
      </c>
      <c r="H358" s="21" t="str">
        <v>124</v>
      </c>
      <c r="I358" s="21" t="str">
        <v>26 05 00.10124</v>
      </c>
      <c r="J358" s="21" t="str">
        <v>متر بطول 5 متر</v>
      </c>
      <c r="K358" s="21" t="str">
        <v>Measuring Tape 5 meters</v>
      </c>
      <c r="L358" s="21" t="str">
        <v>EA</v>
      </c>
    </row>
    <row r="359" spans="1:12" x14ac:dyDescent="0.25">
      <c r="A359" s="30" t="str">
        <v>26</v>
      </c>
      <c r="B359" s="21" t="str">
        <v>Electrical</v>
      </c>
      <c r="C359" s="21" t="str">
        <v>05</v>
      </c>
      <c r="D359" s="21" t="str">
        <v>Common Work Results for Electrical</v>
      </c>
      <c r="E359" s="21" t="str">
        <v>00.10</v>
      </c>
      <c r="F359" s="34" t="str">
        <v>مواد كهرباء</v>
      </c>
      <c r="G359" s="21">
        <v>0</v>
      </c>
      <c r="H359" s="21" t="str">
        <v>125</v>
      </c>
      <c r="I359" s="21" t="str">
        <v>26 05 00.10125</v>
      </c>
      <c r="J359" s="21" t="str">
        <v>متر بطول 7 متر</v>
      </c>
      <c r="K359" s="21" t="str">
        <v>Measuring Tape 7 meters</v>
      </c>
      <c r="L359" s="21" t="str">
        <v>EA</v>
      </c>
    </row>
    <row r="360" spans="1:12" x14ac:dyDescent="0.25">
      <c r="A360" s="30" t="str">
        <v>26</v>
      </c>
      <c r="B360" s="21" t="str">
        <v>Electrical</v>
      </c>
      <c r="C360" s="21" t="str">
        <v>05</v>
      </c>
      <c r="D360" s="21" t="str">
        <v>Common Work Results for Electrical</v>
      </c>
      <c r="E360" s="21" t="str">
        <v>00.10</v>
      </c>
      <c r="F360" s="34" t="str">
        <v>مواد كهرباء</v>
      </c>
      <c r="G360" s="21">
        <v>0</v>
      </c>
      <c r="H360" s="21" t="str">
        <v>126</v>
      </c>
      <c r="I360" s="21" t="str">
        <v>26 05 00.10126</v>
      </c>
      <c r="J360" s="21" t="str">
        <v>شاكوش تكسير 2 كيلو</v>
      </c>
      <c r="K360" s="21" t="str">
        <v>Demolition Hammer 2 kg</v>
      </c>
      <c r="L360" s="21" t="str">
        <v>EA</v>
      </c>
    </row>
    <row r="361" spans="1:12" ht="30" x14ac:dyDescent="0.25">
      <c r="A361" s="30" t="str">
        <v>26</v>
      </c>
      <c r="B361" s="21" t="str">
        <v>Electrical</v>
      </c>
      <c r="C361" s="21" t="str">
        <v>05</v>
      </c>
      <c r="D361" s="21" t="str">
        <v>Common Work Results for Electrical</v>
      </c>
      <c r="E361" s="21" t="str">
        <v>00.10</v>
      </c>
      <c r="F361" s="34" t="str">
        <v>مواد كهرباء</v>
      </c>
      <c r="G361" s="21">
        <v>0</v>
      </c>
      <c r="H361" s="21" t="str">
        <v>127</v>
      </c>
      <c r="I361" s="21" t="str">
        <v>26 05 00.10127</v>
      </c>
      <c r="J361" s="21" t="str">
        <v>بنطة تكسير في الخرسانة يدوي مسمار</v>
      </c>
      <c r="K361" s="21" t="str">
        <v>Manual Concrete Breaker Bit - Nail Point</v>
      </c>
      <c r="L361" s="21" t="str">
        <v>EA</v>
      </c>
    </row>
    <row r="362" spans="1:12" ht="30" x14ac:dyDescent="0.25">
      <c r="A362" s="30" t="str">
        <v>26</v>
      </c>
      <c r="B362" s="21" t="str">
        <v>Electrical</v>
      </c>
      <c r="C362" s="21" t="str">
        <v>05</v>
      </c>
      <c r="D362" s="21" t="str">
        <v>Common Work Results for Electrical</v>
      </c>
      <c r="E362" s="21" t="str">
        <v>00.10</v>
      </c>
      <c r="F362" s="34" t="str">
        <v>مواد كهرباء</v>
      </c>
      <c r="G362" s="21">
        <v>0</v>
      </c>
      <c r="H362" s="21" t="str">
        <v>128</v>
      </c>
      <c r="I362" s="21" t="str">
        <v>26 05 00.10128</v>
      </c>
      <c r="J362" s="21" t="str">
        <v>بنطة تكسير في الخرسانة يدوي اجنة (مسطحة)</v>
      </c>
      <c r="K362" s="21" t="str">
        <v>Manual Concrete Breaker Bit - Flat Chisel</v>
      </c>
      <c r="L362" s="21" t="str">
        <v>EA</v>
      </c>
    </row>
    <row r="363" spans="1:12" x14ac:dyDescent="0.25">
      <c r="A363" s="30" t="str">
        <v>26</v>
      </c>
      <c r="B363" s="21" t="str">
        <v>Electrical</v>
      </c>
      <c r="C363" s="21" t="str">
        <v>05</v>
      </c>
      <c r="D363" s="21" t="str">
        <v>Common Work Results for Electrical</v>
      </c>
      <c r="E363" s="21" t="str">
        <v>00.10</v>
      </c>
      <c r="F363" s="34" t="str">
        <v>مواد كهرباء</v>
      </c>
      <c r="G363" s="21">
        <v>0</v>
      </c>
      <c r="H363" s="21" t="str">
        <v>129</v>
      </c>
      <c r="I363" s="21" t="str">
        <v>26 05 00.10129</v>
      </c>
      <c r="J363" s="21" t="str">
        <v>مقص مواسير بولي</v>
      </c>
      <c r="K363" s="21" t="str">
        <v>Poly Pipe Cutter</v>
      </c>
      <c r="L363" s="21" t="str">
        <v>EA</v>
      </c>
    </row>
    <row r="364" spans="1:12" ht="30" x14ac:dyDescent="0.25">
      <c r="A364" s="30" t="str">
        <v>26</v>
      </c>
      <c r="B364" s="21" t="str">
        <v>Electrical</v>
      </c>
      <c r="C364" s="21" t="str">
        <v>05</v>
      </c>
      <c r="D364" s="21" t="str">
        <v>Common Work Results for Electrical</v>
      </c>
      <c r="E364" s="21" t="str">
        <v>00.10</v>
      </c>
      <c r="F364" s="34" t="str">
        <v>مواد كهرباء</v>
      </c>
      <c r="G364" s="21">
        <v>0</v>
      </c>
      <c r="H364" s="21" t="str">
        <v>130</v>
      </c>
      <c r="I364" s="21" t="str">
        <v>26 05 00.10130</v>
      </c>
      <c r="J364" s="21" t="str">
        <v>بنط هلتي تخريم خرسانة مقاس من 6 الى 12 مم</v>
      </c>
      <c r="K364" s="21" t="str">
        <v>Hilti Concrete Drill Bits (6 mm to 12 mm)</v>
      </c>
      <c r="L364" s="21" t="str">
        <v>EA</v>
      </c>
    </row>
    <row r="365" spans="1:12" x14ac:dyDescent="0.25">
      <c r="A365" s="30" t="str">
        <v>26</v>
      </c>
      <c r="B365" s="21" t="str">
        <v>Electrical</v>
      </c>
      <c r="C365" s="21" t="str">
        <v>05</v>
      </c>
      <c r="D365" s="21" t="str">
        <v>Common Work Results for Electrical</v>
      </c>
      <c r="E365" s="21" t="str">
        <v>00.10</v>
      </c>
      <c r="F365" s="34" t="str">
        <v>مواد كهرباء</v>
      </c>
      <c r="G365" s="21">
        <v>0</v>
      </c>
      <c r="H365" s="21" t="str">
        <v>131</v>
      </c>
      <c r="I365" s="30" t="str">
        <v>26 05 00.10131</v>
      </c>
      <c r="J365" s="21" t="str">
        <v>اسطوانة صاروخ مقاس 9 بوصة حدادي</v>
      </c>
      <c r="K365" s="21" t="str">
        <v>Metal Cutting Disc 9 inch</v>
      </c>
      <c r="L365" s="21" t="str">
        <v>EA</v>
      </c>
    </row>
    <row r="366" spans="1:12" x14ac:dyDescent="0.25">
      <c r="A366" s="30" t="str">
        <v>26</v>
      </c>
      <c r="B366" s="21" t="str">
        <v>Electrical</v>
      </c>
      <c r="C366" s="21" t="str">
        <v>05</v>
      </c>
      <c r="D366" s="21" t="str">
        <v>Common Work Results for Electrical</v>
      </c>
      <c r="E366" s="21" t="str">
        <v>00.10</v>
      </c>
      <c r="F366" s="34" t="str">
        <v>مواد كهرباء</v>
      </c>
      <c r="G366" s="21">
        <v>0</v>
      </c>
      <c r="H366" s="21" t="str">
        <v>132</v>
      </c>
      <c r="I366" s="21" t="str">
        <v>26 05 00.10132</v>
      </c>
      <c r="J366" s="21" t="str">
        <v>اسطوانة صاروخ مقاس 5 بوصة حدادي</v>
      </c>
      <c r="K366" s="21" t="str">
        <v>Metal Cutting Disc 5 inch</v>
      </c>
      <c r="L366" s="21" t="str">
        <v>EA</v>
      </c>
    </row>
    <row r="367" spans="1:12" x14ac:dyDescent="0.25">
      <c r="A367" s="30" t="str">
        <v>26</v>
      </c>
      <c r="B367" s="21" t="str">
        <v>Electrical</v>
      </c>
      <c r="C367" s="21" t="str">
        <v>05</v>
      </c>
      <c r="D367" s="21" t="str">
        <v>Common Work Results for Electrical</v>
      </c>
      <c r="E367" s="21" t="str">
        <v>00.10</v>
      </c>
      <c r="F367" s="34" t="str">
        <v>مواد كهرباء</v>
      </c>
      <c r="G367" s="21">
        <v>0</v>
      </c>
      <c r="H367" s="21" t="str">
        <v>133</v>
      </c>
      <c r="I367" s="21" t="str">
        <v>26 05 00.10133</v>
      </c>
      <c r="J367" s="21" t="str">
        <v>بنط حدادي مقاس من 4 الى 12 مم</v>
      </c>
      <c r="K367" s="21" t="str">
        <v>Metal Drill Bits (4 mm to 12 mm)</v>
      </c>
      <c r="L367" s="21" t="str">
        <v>EA</v>
      </c>
    </row>
    <row r="368" spans="1:12" x14ac:dyDescent="0.25">
      <c r="A368" s="30" t="str">
        <v>26</v>
      </c>
      <c r="B368" s="21" t="str">
        <v>Electrical</v>
      </c>
      <c r="C368" s="21" t="str">
        <v>05</v>
      </c>
      <c r="D368" s="21" t="str">
        <v>Common Work Results for Electrical</v>
      </c>
      <c r="E368" s="21" t="str">
        <v>00.10</v>
      </c>
      <c r="F368" s="34" t="str">
        <v>مواد كهرباء</v>
      </c>
      <c r="G368" s="21">
        <v>0</v>
      </c>
      <c r="H368" s="21" t="str">
        <v>134</v>
      </c>
      <c r="I368" s="21" t="str">
        <v>26 05 00.10134</v>
      </c>
      <c r="J368" s="21" t="str">
        <v>مسدس حراري</v>
      </c>
      <c r="K368" s="21" t="str">
        <v>HEATGUN</v>
      </c>
      <c r="L368" s="21" t="str">
        <v>EA</v>
      </c>
    </row>
    <row r="369" spans="1:12" ht="30" x14ac:dyDescent="0.25">
      <c r="A369" s="30" t="str">
        <v>26</v>
      </c>
      <c r="B369" s="21" t="str">
        <v>Electrical</v>
      </c>
      <c r="C369" s="21" t="str">
        <v>05</v>
      </c>
      <c r="D369" s="21" t="str">
        <v>Common Work Results for Electrical</v>
      </c>
      <c r="E369" s="21" t="str">
        <v>00.10</v>
      </c>
      <c r="F369" s="34" t="str">
        <v>مواد كهرباء</v>
      </c>
      <c r="G369" s="21">
        <v>0</v>
      </c>
      <c r="H369" s="21" t="str">
        <v>135</v>
      </c>
      <c r="I369" s="21" t="str">
        <v>26 05 00.10135</v>
      </c>
      <c r="J369" s="21" t="str">
        <v>سوستة سحب صلب طول 15 متر</v>
      </c>
      <c r="K369" s="21" t="str">
        <v>Steel Pulling Spring / Fish Tape 15 meters</v>
      </c>
      <c r="L369" s="21" t="str">
        <v>EA</v>
      </c>
    </row>
    <row r="370" spans="1:12" ht="30" x14ac:dyDescent="0.25">
      <c r="A370" s="30" t="str">
        <v>26</v>
      </c>
      <c r="B370" s="21" t="str">
        <v>Electrical</v>
      </c>
      <c r="C370" s="21" t="str">
        <v>05</v>
      </c>
      <c r="D370" s="21" t="str">
        <v>Common Work Results for Electrical</v>
      </c>
      <c r="E370" s="21" t="str">
        <v>00.10</v>
      </c>
      <c r="F370" s="34" t="str">
        <v>مواد كهرباء</v>
      </c>
      <c r="G370" s="21">
        <v>0</v>
      </c>
      <c r="H370" s="21" t="str">
        <v>136</v>
      </c>
      <c r="I370" s="21" t="str">
        <v>26 05 00.10136</v>
      </c>
      <c r="J370" s="21" t="str">
        <v>سوستة سحب صلب طول 30 متر</v>
      </c>
      <c r="K370" s="21" t="str">
        <v>Steel Pulling Spring / Fish Tape 30 meters</v>
      </c>
      <c r="L370" s="21" t="str">
        <v>EA</v>
      </c>
    </row>
    <row r="371" spans="1:12" ht="30" x14ac:dyDescent="0.25">
      <c r="A371" s="30" t="str">
        <v>26</v>
      </c>
      <c r="B371" s="21" t="str">
        <v>Electrical</v>
      </c>
      <c r="C371" s="21" t="str">
        <v>05</v>
      </c>
      <c r="D371" s="21" t="str">
        <v>Common Work Results for Electrical</v>
      </c>
      <c r="E371" s="21" t="str">
        <v>00.10</v>
      </c>
      <c r="F371" s="34" t="str">
        <v>مواد كهرباء</v>
      </c>
      <c r="G371" s="21">
        <v>0</v>
      </c>
      <c r="H371" s="21" t="str">
        <v>137</v>
      </c>
      <c r="I371" s="21" t="str">
        <v>26 05 00.10137</v>
      </c>
      <c r="J371" s="21" t="str">
        <v>سوستة سحب صلب طول 70 متر</v>
      </c>
      <c r="K371" s="21" t="str">
        <v>Steel Pulling Spring / Fish Tape 70 meters</v>
      </c>
      <c r="L371" s="21" t="str">
        <v>EA</v>
      </c>
    </row>
    <row r="372" spans="1:12" ht="30" x14ac:dyDescent="0.25">
      <c r="A372" s="30" t="str">
        <v>26</v>
      </c>
      <c r="B372" s="21" t="str">
        <v>Electrical</v>
      </c>
      <c r="C372" s="21" t="str">
        <v>05</v>
      </c>
      <c r="D372" s="21" t="str">
        <v>Common Work Results for Electrical</v>
      </c>
      <c r="E372" s="21" t="str">
        <v>00.10</v>
      </c>
      <c r="F372" s="34" t="str">
        <v>مواد كهرباء</v>
      </c>
      <c r="G372" s="21">
        <v>0</v>
      </c>
      <c r="H372" s="21" t="str">
        <v>138</v>
      </c>
      <c r="I372" s="21" t="str">
        <v>26 05 00.10138</v>
      </c>
      <c r="J372" s="21" t="str">
        <v>شباك سقالة معدنية</v>
      </c>
      <c r="K372" s="21" t="str">
        <v>Metal Scaffolding Net / Scaffold Enclosure</v>
      </c>
      <c r="L372" s="21" t="str">
        <v>EA</v>
      </c>
    </row>
    <row r="373" spans="1:12" x14ac:dyDescent="0.25">
      <c r="A373" s="30" t="str">
        <v>26</v>
      </c>
      <c r="B373" s="21" t="str">
        <v>Electrical</v>
      </c>
      <c r="C373" s="21" t="str">
        <v>05</v>
      </c>
      <c r="D373" s="21" t="str">
        <v>Common Work Results for Electrical</v>
      </c>
      <c r="E373" s="21" t="str">
        <v>00.10</v>
      </c>
      <c r="F373" s="34" t="str">
        <v>مواد كهرباء</v>
      </c>
      <c r="G373" s="21">
        <v>0</v>
      </c>
      <c r="H373" s="21" t="str">
        <v>139</v>
      </c>
      <c r="I373" s="21" t="str">
        <v>26 05 00.10139</v>
      </c>
      <c r="J373" s="21" t="str">
        <v>ميزان مياه عادي كبير</v>
      </c>
      <c r="K373" s="21" t="str">
        <v>Large Spirit Level / Large Bubble Level</v>
      </c>
      <c r="L373" s="21" t="str">
        <v>EA</v>
      </c>
    </row>
    <row r="374" spans="1:12" ht="30" x14ac:dyDescent="0.25">
      <c r="A374" s="30" t="str">
        <v>26</v>
      </c>
      <c r="B374" s="21" t="str">
        <v>Electrical</v>
      </c>
      <c r="C374" s="21" t="str">
        <v>05</v>
      </c>
      <c r="D374" s="21" t="str">
        <v>Common Work Results for Electrical</v>
      </c>
      <c r="E374" s="21" t="str">
        <v>00.10</v>
      </c>
      <c r="F374" s="34" t="str">
        <v>مواد كهرباء</v>
      </c>
      <c r="G374" s="21">
        <v>0</v>
      </c>
      <c r="H374" s="21" t="str">
        <v>140</v>
      </c>
      <c r="I374" s="21" t="str">
        <v>26 05 00.10140</v>
      </c>
      <c r="J374" s="21" t="str">
        <v>ميزان مياه عادي صغير</v>
      </c>
      <c r="K374" s="21" t="str">
        <v>Small Spirit Level / Small Bubble Level</v>
      </c>
      <c r="L374" s="21" t="str">
        <v>EA</v>
      </c>
    </row>
    <row r="375" spans="1:12" ht="45" x14ac:dyDescent="0.25">
      <c r="A375" s="30" t="str">
        <v>26</v>
      </c>
      <c r="B375" s="21" t="str">
        <v>Electrical</v>
      </c>
      <c r="C375" s="21" t="str">
        <v>05</v>
      </c>
      <c r="D375" s="21" t="str">
        <v>Common Work Results for Electrical</v>
      </c>
      <c r="E375" s="21" t="str">
        <v>00.10</v>
      </c>
      <c r="F375" s="34" t="str">
        <v>مواد كهرباء</v>
      </c>
      <c r="G375" s="21">
        <v>0</v>
      </c>
      <c r="H375" s="21" t="str">
        <v>141</v>
      </c>
      <c r="I375" s="21" t="str">
        <v>26 05 00.10141</v>
      </c>
      <c r="J375" s="21" t="str">
        <v>كشاف طبق دائري خارجي 40 وات-هونداي</v>
      </c>
      <c r="K375" s="21" t="str">
        <v>40W CEILING LED LIGHT 4000K NATURAL WHITE 4000LM 220-240V 30000H-HYUNDAI</v>
      </c>
      <c r="L375" s="21">
        <v>0</v>
      </c>
    </row>
    <row r="376" spans="1:12" ht="30" x14ac:dyDescent="0.25">
      <c r="A376" s="30" t="str">
        <v>26</v>
      </c>
      <c r="B376" s="21" t="str">
        <v>Electrical</v>
      </c>
      <c r="C376" s="21" t="str">
        <v>05</v>
      </c>
      <c r="D376" s="21" t="str">
        <v>Common Work Results for Electrical</v>
      </c>
      <c r="E376" s="21" t="str">
        <v>00.10</v>
      </c>
      <c r="F376" s="34" t="str">
        <v>مواد كهرباء</v>
      </c>
      <c r="G376" s="21">
        <v>0</v>
      </c>
      <c r="H376" s="21" t="str">
        <v>142</v>
      </c>
      <c r="I376" s="21" t="str">
        <v>26 05 00.10142</v>
      </c>
      <c r="J376" s="21" t="str">
        <v>لوحة انذار حريق 8 زون</v>
      </c>
      <c r="K376" s="21" t="str">
        <v>CPF-Conventional Fire Alarm Panel 
(8 Zones &amp; 2 Fire Relay)</v>
      </c>
      <c r="L376" s="21" t="str">
        <v>EA</v>
      </c>
    </row>
    <row r="377" spans="1:12" ht="30" x14ac:dyDescent="0.25">
      <c r="A377" s="30" t="str">
        <v>26</v>
      </c>
      <c r="B377" s="21" t="str">
        <v>Electrical</v>
      </c>
      <c r="C377" s="21" t="str">
        <v>05</v>
      </c>
      <c r="D377" s="21" t="str">
        <v>Common Work Results for Electrical</v>
      </c>
      <c r="E377" s="21" t="str">
        <v>00.10</v>
      </c>
      <c r="F377" s="34" t="str">
        <v>مواد كهرباء</v>
      </c>
      <c r="G377" s="21">
        <v>0</v>
      </c>
      <c r="H377" s="21" t="str">
        <v>143</v>
      </c>
      <c r="I377" s="21" t="str">
        <v>26 05 00.10143</v>
      </c>
      <c r="J377" s="21" t="str">
        <v>كاشف دخان بقاعدة عادية</v>
      </c>
      <c r="K377" s="21" t="str">
        <v>CONVENTIONAL SMOKE DETECTOR
WITH CONVENTIONAL BASE</v>
      </c>
      <c r="L377" s="21" t="str">
        <v>EA</v>
      </c>
    </row>
    <row r="378" spans="1:12" x14ac:dyDescent="0.25">
      <c r="A378" s="30" t="str">
        <v>26</v>
      </c>
      <c r="B378" s="21" t="str">
        <v>Electrical</v>
      </c>
      <c r="C378" s="21" t="str">
        <v>05</v>
      </c>
      <c r="D378" s="21" t="str">
        <v>Common Work Results for Electrical</v>
      </c>
      <c r="E378" s="21" t="str">
        <v>00.10</v>
      </c>
      <c r="F378" s="34" t="str">
        <v>مواد كهرباء</v>
      </c>
      <c r="G378" s="21">
        <v>0</v>
      </c>
      <c r="H378" s="21" t="str">
        <v>144</v>
      </c>
      <c r="I378" s="21" t="str">
        <v>26 05 00.10144</v>
      </c>
      <c r="J378" s="21" t="str">
        <v>فيش كهربا بمفتاح احادي-فنار</v>
      </c>
      <c r="K378" s="21" t="str">
        <v>13A SINGLE SWITCHED SOCKET</v>
      </c>
      <c r="L378" s="21">
        <v>0</v>
      </c>
    </row>
    <row r="379" spans="1:12" x14ac:dyDescent="0.25">
      <c r="A379" s="30">
        <v>0</v>
      </c>
      <c r="B379" s="21">
        <v>0</v>
      </c>
      <c r="C379" s="21">
        <v>0</v>
      </c>
      <c r="D379" s="21">
        <v>0</v>
      </c>
      <c r="E379" s="21">
        <v>0</v>
      </c>
      <c r="F379" s="34">
        <v>0</v>
      </c>
      <c r="G379" s="21">
        <v>0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</row>
    <row r="380" spans="1:12" x14ac:dyDescent="0.25">
      <c r="A380" s="30" t="str">
        <v>26</v>
      </c>
      <c r="B380" s="21" t="str">
        <v>Electrical</v>
      </c>
      <c r="C380" s="21" t="str">
        <v>05</v>
      </c>
      <c r="D380" s="21" t="str">
        <v>Common Work Results for Electrical</v>
      </c>
      <c r="E380" s="21" t="str">
        <v>00.10</v>
      </c>
      <c r="F380" s="34" t="str">
        <v>مواد كهرباء</v>
      </c>
      <c r="G380" s="21">
        <v>0</v>
      </c>
      <c r="H380" s="21" t="str">
        <v>146</v>
      </c>
      <c r="I380" s="21" t="str">
        <v>26 05 00.10146</v>
      </c>
      <c r="J380" s="21" t="str">
        <v>مفتاح سكة واحدة لقمتين-فنار</v>
      </c>
      <c r="K380" s="21" t="str">
        <v>ONE WAY TWO GANG SWITCH 10A</v>
      </c>
      <c r="L380" s="21">
        <v>0</v>
      </c>
    </row>
    <row r="381" spans="1:12" x14ac:dyDescent="0.25">
      <c r="A381" s="30" t="str">
        <v>26</v>
      </c>
      <c r="B381" s="21" t="str">
        <v>Electrical</v>
      </c>
      <c r="C381" s="21" t="str">
        <v>05</v>
      </c>
      <c r="D381" s="21" t="str">
        <v>Common Work Results for Electrical</v>
      </c>
      <c r="E381" s="21" t="str">
        <v>00.10</v>
      </c>
      <c r="F381" s="34" t="str">
        <v>مواد كهرباء</v>
      </c>
      <c r="G381" s="21">
        <v>0</v>
      </c>
      <c r="H381" s="21" t="str">
        <v>147</v>
      </c>
      <c r="I381" s="21" t="str">
        <v>26 05 00.10147</v>
      </c>
      <c r="J381" s="21" t="str">
        <v>حبل شداد قطر 6 مم</v>
      </c>
      <c r="K381" s="21" t="str">
        <v>حبل شداد قطر 6 مم</v>
      </c>
      <c r="L381" s="21" t="str">
        <v>ROLL</v>
      </c>
    </row>
    <row r="382" spans="1:12" ht="30" x14ac:dyDescent="0.25">
      <c r="A382" s="30" t="str">
        <v>26</v>
      </c>
      <c r="B382" s="21" t="str">
        <v>Electrical</v>
      </c>
      <c r="C382" s="21" t="str">
        <v>05</v>
      </c>
      <c r="D382" s="21" t="str">
        <v>Common Work Results for Electrical</v>
      </c>
      <c r="E382" s="21" t="str">
        <v>00.10</v>
      </c>
      <c r="F382" s="34" t="str">
        <v>مواد كهرباء</v>
      </c>
      <c r="G382" s="21">
        <v>0</v>
      </c>
      <c r="H382" s="21" t="str">
        <v>148</v>
      </c>
      <c r="I382" s="21" t="str">
        <v>26 05 00.10148</v>
      </c>
      <c r="J382" s="21" t="str">
        <v>كشاف 60*60 غاطس 40 وات-هونداي</v>
      </c>
      <c r="K382" s="21" t="str">
        <v>HBLP-40W 4000K 110LM LED BACKLIT PANEL 220-240V-HYUNDAI</v>
      </c>
      <c r="L382" s="21">
        <v>0</v>
      </c>
    </row>
    <row r="383" spans="1:12" ht="30" x14ac:dyDescent="0.25">
      <c r="A383" s="30" t="str">
        <v>26</v>
      </c>
      <c r="B383" s="21" t="str">
        <v>Electrical</v>
      </c>
      <c r="C383" s="21" t="str">
        <v>05</v>
      </c>
      <c r="D383" s="21" t="str">
        <v>Common Work Results for Electrical</v>
      </c>
      <c r="E383" s="21" t="str">
        <v>00.10</v>
      </c>
      <c r="F383" s="34" t="str">
        <v>مواد كهرباء</v>
      </c>
      <c r="G383" s="21">
        <v>0</v>
      </c>
      <c r="H383" s="21" t="str">
        <v>149</v>
      </c>
      <c r="I383" s="21" t="str">
        <v>26 05 00.10149</v>
      </c>
      <c r="J383" s="21" t="str">
        <v>كشاف دائري غاطس غير مقاوم 20 وات-هونداي</v>
      </c>
      <c r="K383" s="21" t="str">
        <v>HSMD-20W 4000K DOWNLIGHT LED SMD 20CM C/OUT 100-240V-HYUNDAI</v>
      </c>
      <c r="L383" s="21">
        <v>0</v>
      </c>
    </row>
    <row r="384" spans="1:12" ht="30" x14ac:dyDescent="0.25">
      <c r="A384" s="30" t="str">
        <v>26</v>
      </c>
      <c r="B384" s="21" t="str">
        <v>Electrical</v>
      </c>
      <c r="C384" s="21" t="str">
        <v>05</v>
      </c>
      <c r="D384" s="21" t="str">
        <v>Common Work Results for Electrical</v>
      </c>
      <c r="E384" s="21" t="str">
        <v>00.10</v>
      </c>
      <c r="F384" s="34" t="str">
        <v>مواد كهرباء</v>
      </c>
      <c r="G384" s="21">
        <v>0</v>
      </c>
      <c r="H384" s="21" t="str">
        <v>150</v>
      </c>
      <c r="I384" s="21" t="str">
        <v>26 05 00.10150</v>
      </c>
      <c r="J384" s="21" t="str">
        <v>كشاف عين بقرة دائري 20 وات-هونداي</v>
      </c>
      <c r="K384" s="21" t="str">
        <v>HBLR-20W 4000K ROUND BULK HEAD 110-220 90LM/W-HYUNDAI</v>
      </c>
      <c r="L384" s="21">
        <v>0</v>
      </c>
    </row>
    <row r="385" spans="1:12" ht="30" x14ac:dyDescent="0.25">
      <c r="A385" s="30" t="str">
        <v>26</v>
      </c>
      <c r="B385" s="21" t="str">
        <v>Electrical</v>
      </c>
      <c r="C385" s="21" t="str">
        <v>05</v>
      </c>
      <c r="D385" s="21" t="str">
        <v>Common Work Results for Electrical</v>
      </c>
      <c r="E385" s="21" t="str">
        <v>00.10</v>
      </c>
      <c r="F385" s="34" t="str">
        <v>مواد كهرباء</v>
      </c>
      <c r="G385" s="21">
        <v>0</v>
      </c>
      <c r="H385" s="21" t="str">
        <v>151</v>
      </c>
      <c r="I385" s="21" t="str">
        <v>26 05 00.10151</v>
      </c>
      <c r="J385" s="21" t="str">
        <v>كشاف ارضية 8 وات-هونداي</v>
      </c>
      <c r="K385" s="21" t="str">
        <v>HOUL-8.3W 3000K FLOOR LIGHTING 220-240 V 65LM/W-HYUNDAI</v>
      </c>
      <c r="L385" s="21">
        <v>0</v>
      </c>
    </row>
    <row r="386" spans="1:12" ht="45" x14ac:dyDescent="0.25">
      <c r="A386" s="30" t="str">
        <v>26</v>
      </c>
      <c r="B386" s="21" t="str">
        <v>Electrical</v>
      </c>
      <c r="C386" s="21" t="str">
        <v>05</v>
      </c>
      <c r="D386" s="21" t="str">
        <v>Common Work Results for Electrical</v>
      </c>
      <c r="E386" s="21" t="str">
        <v>00.10</v>
      </c>
      <c r="F386" s="34" t="str">
        <v>مواد كهرباء</v>
      </c>
      <c r="G386" s="21">
        <v>0</v>
      </c>
      <c r="H386" s="21" t="str">
        <v>152</v>
      </c>
      <c r="I386" s="21" t="str">
        <v>26 05 00.10152</v>
      </c>
      <c r="J386" s="21" t="str">
        <v>كشاف فلودلايت-هونداي</v>
      </c>
      <c r="K386" s="21" t="str">
        <v>100/6.5K LED FLOOD LIGHT 220-240V 50/60Hz 6500K 10000LM 30000 Hrs-HYUNDAI</v>
      </c>
      <c r="L386" s="21">
        <v>0</v>
      </c>
    </row>
    <row r="387" spans="1:12" ht="30" x14ac:dyDescent="0.25">
      <c r="A387" s="30" t="str">
        <v>26</v>
      </c>
      <c r="B387" s="21" t="str">
        <v>Electrical</v>
      </c>
      <c r="C387" s="21" t="str">
        <v>05</v>
      </c>
      <c r="D387" s="21" t="str">
        <v>Common Work Results for Electrical</v>
      </c>
      <c r="E387" s="21" t="str">
        <v>00.10</v>
      </c>
      <c r="F387" s="34" t="str">
        <v>مواد كهرباء</v>
      </c>
      <c r="G387" s="21">
        <v>0</v>
      </c>
      <c r="H387" s="21" t="str">
        <v>153</v>
      </c>
      <c r="I387" s="21" t="str">
        <v>26 05 00.10153</v>
      </c>
      <c r="J387" s="21" t="str">
        <v>كشاف عين بقرة بيضاوي 24 وات-مظلة</v>
      </c>
      <c r="K387" s="21" t="str">
        <v>24W, 3000k, 100/240V, 2160LM, 30000H BULK HEAD-MAZALLAH</v>
      </c>
      <c r="L387" s="21">
        <v>0</v>
      </c>
    </row>
    <row r="388" spans="1:12" ht="30" x14ac:dyDescent="0.25">
      <c r="A388" s="30" t="str">
        <v>26</v>
      </c>
      <c r="B388" s="21" t="str">
        <v>Electrical</v>
      </c>
      <c r="C388" s="21" t="str">
        <v>05</v>
      </c>
      <c r="D388" s="21" t="str">
        <v>Common Work Results for Electrical</v>
      </c>
      <c r="E388" s="21" t="str">
        <v>00.10</v>
      </c>
      <c r="F388" s="34" t="str">
        <v>مواد كهرباء</v>
      </c>
      <c r="G388" s="21">
        <v>0</v>
      </c>
      <c r="H388" s="21" t="str">
        <v>154</v>
      </c>
      <c r="I388" s="21" t="str">
        <v>26 05 00.10154</v>
      </c>
      <c r="J388" s="21" t="str">
        <v>علامة هروب 8 وات-هونداي</v>
      </c>
      <c r="K388" s="21" t="str">
        <v>EXIT LIGHT, 1X8W SINGLE FACE SIGN EXIT- HYUNDAI</v>
      </c>
      <c r="L388" s="21">
        <v>0</v>
      </c>
    </row>
    <row r="389" spans="1:12" ht="45" x14ac:dyDescent="0.25">
      <c r="A389" s="30" t="str">
        <v>26</v>
      </c>
      <c r="B389" s="21" t="str">
        <v>Electrical</v>
      </c>
      <c r="C389" s="21" t="str">
        <v>05</v>
      </c>
      <c r="D389" s="21" t="str">
        <v>Common Work Results for Electrical</v>
      </c>
      <c r="E389" s="21" t="str">
        <v>00.10</v>
      </c>
      <c r="F389" s="34" t="str">
        <v>مواد كهرباء</v>
      </c>
      <c r="G389" s="21">
        <v>0</v>
      </c>
      <c r="H389" s="21" t="str">
        <v>155</v>
      </c>
      <c r="I389" s="21" t="str">
        <v>26 05 00.10155</v>
      </c>
      <c r="J389" s="21" t="str">
        <v>كشاف طورائ 40 سم-هونداي</v>
      </c>
      <c r="K389" s="21" t="str">
        <v>HLEM- EMERGENCY LIGHT NON MAINTAINED 3HRS 220V 50/60Hz IP54-HYUNDAI</v>
      </c>
      <c r="L389" s="21">
        <v>0</v>
      </c>
    </row>
    <row r="390" spans="1:12" ht="30" x14ac:dyDescent="0.25">
      <c r="A390" s="30" t="str">
        <v>26</v>
      </c>
      <c r="B390" s="21" t="str">
        <v>Electrical</v>
      </c>
      <c r="C390" s="21" t="str">
        <v>05</v>
      </c>
      <c r="D390" s="21" t="str">
        <v>Common Work Results for Electrical</v>
      </c>
      <c r="E390" s="21" t="str">
        <v>00.10</v>
      </c>
      <c r="F390" s="34" t="str">
        <v>مواد كهرباء</v>
      </c>
      <c r="G390" s="21">
        <v>0</v>
      </c>
      <c r="H390" s="21" t="str">
        <v>156</v>
      </c>
      <c r="I390" s="21" t="str">
        <v>26 05 00.10156</v>
      </c>
      <c r="J390" s="21" t="str">
        <v>ميزان خرطوم مائي  بطول من 10 الى 15 متر(خرطوم شرب)</v>
      </c>
      <c r="K390" s="21" t="str">
        <v>Water Hose Level 10-15 meters length (Drinking Hose)</v>
      </c>
      <c r="L390" s="21" t="str">
        <v>EA</v>
      </c>
    </row>
    <row r="391" spans="1:12" ht="30" x14ac:dyDescent="0.25">
      <c r="A391" s="30" t="str">
        <v>26</v>
      </c>
      <c r="B391" s="21" t="str">
        <v>Electrical</v>
      </c>
      <c r="C391" s="21" t="str">
        <v>05</v>
      </c>
      <c r="D391" s="21" t="str">
        <v>Common Work Results for Electrical</v>
      </c>
      <c r="E391" s="21" t="str">
        <v>00.10</v>
      </c>
      <c r="F391" s="34" t="str">
        <v>مواد كهرباء</v>
      </c>
      <c r="G391" s="21">
        <v>0</v>
      </c>
      <c r="H391" s="21" t="str">
        <v>157</v>
      </c>
      <c r="I391" s="21" t="str">
        <v>26 05 00.10157</v>
      </c>
      <c r="J391" s="21" t="str">
        <v>اسطوانة صاروخ مقاس 9 بوصة خرسانة</v>
      </c>
      <c r="K391" s="21" t="str">
        <v>Concrete Cutting Wheel / Disc 9 inch (for angle grinder)</v>
      </c>
      <c r="L391" s="21" t="str">
        <v>EA</v>
      </c>
    </row>
    <row r="392" spans="1:12" ht="30" x14ac:dyDescent="0.25">
      <c r="A392" s="30" t="str">
        <v>26</v>
      </c>
      <c r="B392" s="21" t="str">
        <v>Electrical</v>
      </c>
      <c r="C392" s="21" t="str">
        <v>05</v>
      </c>
      <c r="D392" s="21" t="str">
        <v>Common Work Results for Electrical</v>
      </c>
      <c r="E392" s="21" t="str">
        <v>00.10</v>
      </c>
      <c r="F392" s="34" t="str">
        <v>مواد كهرباء</v>
      </c>
      <c r="G392" s="21">
        <v>0</v>
      </c>
      <c r="H392" s="21" t="str">
        <v>158</v>
      </c>
      <c r="I392" s="21" t="str">
        <v>26 05 00.10158</v>
      </c>
      <c r="J392" s="21" t="str">
        <v>اسطوانة صاروخ مقاس 5 بوصة خرسانة</v>
      </c>
      <c r="K392" s="21" t="str">
        <v>Concrete Cutting Wheel / Disc 5 inch (for angle grinder)</v>
      </c>
      <c r="L392" s="21" t="str">
        <v>EA</v>
      </c>
    </row>
    <row r="393" spans="1:12" x14ac:dyDescent="0.25">
      <c r="A393" s="30" t="str">
        <v>26</v>
      </c>
      <c r="B393" s="21" t="str">
        <v>Electrical</v>
      </c>
      <c r="C393" s="21" t="str">
        <v>05</v>
      </c>
      <c r="D393" s="21" t="str">
        <v>Common Work Results for Electrical</v>
      </c>
      <c r="E393" s="21" t="str">
        <v>00.10</v>
      </c>
      <c r="F393" s="34" t="str">
        <v>مواد كهرباء</v>
      </c>
      <c r="G393" s="21">
        <v>0</v>
      </c>
      <c r="H393" s="21" t="str">
        <v>159</v>
      </c>
      <c r="I393" s="21" t="str">
        <v>26 05 00.10159</v>
      </c>
      <c r="J393" s="21" t="str">
        <v>ميزان مياه عادي 30 سم</v>
      </c>
      <c r="K393" s="21" t="str">
        <v>Ordinary Water Level 30 cm</v>
      </c>
      <c r="L393" s="21" t="str">
        <v>EA</v>
      </c>
    </row>
    <row r="394" spans="1:12" x14ac:dyDescent="0.25">
      <c r="A394" s="30">
        <v>0</v>
      </c>
      <c r="B394" s="21">
        <v>0</v>
      </c>
      <c r="C394" s="21">
        <v>0</v>
      </c>
      <c r="D394" s="21">
        <v>0</v>
      </c>
      <c r="E394" s="21">
        <v>0</v>
      </c>
      <c r="F394" s="34">
        <v>0</v>
      </c>
      <c r="G394" s="21">
        <v>0</v>
      </c>
      <c r="H394" s="21">
        <v>0</v>
      </c>
      <c r="I394" s="21">
        <v>0</v>
      </c>
      <c r="J394" s="21">
        <v>0</v>
      </c>
      <c r="K394" s="21">
        <v>0</v>
      </c>
      <c r="L394" s="21" t="str">
        <v>EA</v>
      </c>
    </row>
    <row r="395" spans="1:12" x14ac:dyDescent="0.25">
      <c r="A395" s="30" t="str">
        <v>26</v>
      </c>
      <c r="B395" s="21" t="str">
        <v>Electrical</v>
      </c>
      <c r="C395" s="21" t="str">
        <v>05</v>
      </c>
      <c r="D395" s="21" t="str">
        <v>Common Work Results for Electrical</v>
      </c>
      <c r="E395" s="21" t="str">
        <v>00.10</v>
      </c>
      <c r="F395" s="34" t="str">
        <v>مواد كهرباء</v>
      </c>
      <c r="G395" s="21">
        <v>0</v>
      </c>
      <c r="H395" s="21" t="str">
        <v>161</v>
      </c>
      <c r="I395" s="21" t="str">
        <v>26 05 00.10161</v>
      </c>
      <c r="J395" s="21" t="str">
        <v>غراء مواسير</v>
      </c>
      <c r="K395" s="21" t="str">
        <v>GLUE 1/2 KG</v>
      </c>
      <c r="L395" s="21" t="str">
        <v>EA</v>
      </c>
    </row>
    <row r="396" spans="1:12" x14ac:dyDescent="0.25">
      <c r="A396" s="30" t="str">
        <v>26</v>
      </c>
      <c r="B396" s="21" t="str">
        <v>Electrical</v>
      </c>
      <c r="C396" s="21" t="str">
        <v>05</v>
      </c>
      <c r="D396" s="21" t="str">
        <v>Common Work Results for Electrical</v>
      </c>
      <c r="E396" s="21" t="str">
        <v>00.10</v>
      </c>
      <c r="F396" s="34" t="str">
        <v>مواد كهرباء</v>
      </c>
      <c r="G396" s="21">
        <v>0</v>
      </c>
      <c r="H396" s="21" t="str">
        <v>162</v>
      </c>
      <c r="I396" s="21" t="str">
        <v>26 05 00.10162</v>
      </c>
      <c r="J396" s="21" t="str">
        <v>منظف مواسير</v>
      </c>
      <c r="K396" s="21" t="str">
        <v>CLEANER 1/2 KG</v>
      </c>
      <c r="L396" s="21" t="str">
        <v>EA</v>
      </c>
    </row>
    <row r="397" spans="1:12" x14ac:dyDescent="0.25">
      <c r="A397" s="30" t="str">
        <v>26</v>
      </c>
      <c r="B397" s="21" t="str">
        <v>Electrical</v>
      </c>
      <c r="C397" s="21" t="str">
        <v>05</v>
      </c>
      <c r="D397" s="21" t="str">
        <v>Common Work Results for Electrical</v>
      </c>
      <c r="E397" s="21" t="str">
        <v>00.10</v>
      </c>
      <c r="F397" s="34" t="str">
        <v>مواد كهرباء</v>
      </c>
      <c r="G397" s="21">
        <v>0</v>
      </c>
      <c r="H397" s="21" t="str">
        <v>163</v>
      </c>
      <c r="I397" s="21" t="str">
        <v>26 05 00.10163</v>
      </c>
      <c r="J397" s="21" t="str">
        <v>تيب رمادي</v>
      </c>
      <c r="K397" s="21" t="str">
        <v>PVC MASKING TAPE 2" GREY</v>
      </c>
      <c r="L397" s="21" t="str">
        <v>EA</v>
      </c>
    </row>
    <row r="398" spans="1:12" x14ac:dyDescent="0.25">
      <c r="A398" s="30" t="str">
        <v>26</v>
      </c>
      <c r="B398" s="21" t="str">
        <v>Electrical</v>
      </c>
      <c r="C398" s="21" t="str">
        <v>05</v>
      </c>
      <c r="D398" s="21" t="str">
        <v>Common Work Results for Electrical</v>
      </c>
      <c r="E398" s="21" t="str">
        <v>00.10</v>
      </c>
      <c r="F398" s="34" t="str">
        <v>مواد كهرباء</v>
      </c>
      <c r="G398" s="21">
        <v>0</v>
      </c>
      <c r="H398" s="21" t="str">
        <v>164</v>
      </c>
      <c r="I398" s="21" t="str">
        <v>26 05 00.10164</v>
      </c>
      <c r="J398" s="21" t="str">
        <v>جلبة مقاس 25 مم2</v>
      </c>
      <c r="K398" s="21" t="str">
        <v>25 mm CLASS 3 PVC COUPLING</v>
      </c>
      <c r="L398" s="21" t="str">
        <v>EA</v>
      </c>
    </row>
    <row r="399" spans="1:12" x14ac:dyDescent="0.25">
      <c r="A399" s="30" t="str">
        <v>26</v>
      </c>
      <c r="B399" s="21" t="str">
        <v>Electrical</v>
      </c>
      <c r="C399" s="21" t="str">
        <v>05</v>
      </c>
      <c r="D399" s="21" t="str">
        <v>Common Work Results for Electrical</v>
      </c>
      <c r="E399" s="21" t="str">
        <v>00.10</v>
      </c>
      <c r="F399" s="34" t="str">
        <v>مواد كهرباء</v>
      </c>
      <c r="G399" s="21">
        <v>0</v>
      </c>
      <c r="H399" s="21" t="str">
        <v>165</v>
      </c>
      <c r="I399" s="21" t="str">
        <v>26 05 00.10165</v>
      </c>
      <c r="J399" s="21" t="str">
        <v>بوكس معدن مقاس (25X25X10) CM</v>
      </c>
      <c r="K399" s="21" t="str">
        <v>EMT BOX (25X25X10) CM</v>
      </c>
      <c r="L399" s="21" t="str">
        <v>EA</v>
      </c>
    </row>
    <row r="400" spans="1:12" x14ac:dyDescent="0.25">
      <c r="A400" s="30" t="str">
        <v>26</v>
      </c>
      <c r="B400" s="21" t="str">
        <v>Electrical</v>
      </c>
      <c r="C400" s="21" t="str">
        <v>05</v>
      </c>
      <c r="D400" s="21" t="str">
        <v>Common Work Results for Electrical</v>
      </c>
      <c r="E400" s="21" t="str">
        <v>00.10</v>
      </c>
      <c r="F400" s="34" t="str">
        <v>مواد كهرباء</v>
      </c>
      <c r="G400" s="21">
        <v>0</v>
      </c>
      <c r="H400" s="21" t="str">
        <v>166</v>
      </c>
      <c r="I400" s="21" t="str">
        <v>26 05 00.10166</v>
      </c>
      <c r="J400" s="21" t="str">
        <v>بوكس معدن مقاس (30X30X10) CM</v>
      </c>
      <c r="K400" s="21" t="str">
        <v>EMT BOX (30X30X10) CM</v>
      </c>
      <c r="L400" s="21" t="str">
        <v>EA</v>
      </c>
    </row>
    <row r="401" spans="1:12" x14ac:dyDescent="0.25">
      <c r="A401" s="30">
        <v>0</v>
      </c>
      <c r="B401" s="21">
        <v>0</v>
      </c>
      <c r="C401" s="21">
        <v>0</v>
      </c>
      <c r="D401" s="21">
        <v>0</v>
      </c>
      <c r="E401" s="21">
        <v>0</v>
      </c>
      <c r="F401" s="34">
        <v>0</v>
      </c>
      <c r="G401" s="21">
        <v>0</v>
      </c>
      <c r="H401" s="21">
        <v>0</v>
      </c>
      <c r="I401" s="21">
        <v>0</v>
      </c>
      <c r="J401" s="21">
        <v>0</v>
      </c>
      <c r="K401" s="21">
        <v>0</v>
      </c>
      <c r="L401" s="21">
        <v>0</v>
      </c>
    </row>
    <row r="402" spans="1:12" x14ac:dyDescent="0.25">
      <c r="A402" s="30" t="str">
        <v>26</v>
      </c>
      <c r="B402" s="21" t="str">
        <v>Electrical</v>
      </c>
      <c r="C402" s="21" t="str">
        <v>05</v>
      </c>
      <c r="D402" s="21" t="str">
        <v>Common Work Results for Electrical</v>
      </c>
      <c r="E402" s="21" t="str">
        <v>00.10</v>
      </c>
      <c r="F402" s="34" t="str">
        <v>مواد كهرباء</v>
      </c>
      <c r="G402" s="21">
        <v>0</v>
      </c>
      <c r="H402" s="21" t="str">
        <v>168</v>
      </c>
      <c r="I402" s="21" t="str">
        <v>26 05 00.10168</v>
      </c>
      <c r="J402" s="21" t="str">
        <v>تيب ابيض ورق</v>
      </c>
      <c r="K402" s="21" t="str">
        <v>PAPER MASKING TAPE 2" BEIGE</v>
      </c>
      <c r="L402" s="21" t="str">
        <v>EA</v>
      </c>
    </row>
    <row r="403" spans="1:12" x14ac:dyDescent="0.25">
      <c r="A403" s="30" t="str">
        <v>26</v>
      </c>
      <c r="B403" s="21" t="str">
        <v>Electrical</v>
      </c>
      <c r="C403" s="21" t="str">
        <v>05</v>
      </c>
      <c r="D403" s="21" t="str">
        <v>Common Work Results for Electrical</v>
      </c>
      <c r="E403" s="21" t="str">
        <v>00.10</v>
      </c>
      <c r="F403" s="34" t="str">
        <v>مواد كهرباء</v>
      </c>
      <c r="G403" s="21">
        <v>0</v>
      </c>
      <c r="H403" s="21" t="str">
        <v>169</v>
      </c>
      <c r="I403" s="21" t="str">
        <v>26 05 00.10169</v>
      </c>
      <c r="J403" s="21" t="str">
        <v>علبة مسامير طول 6 سم</v>
      </c>
      <c r="K403" s="21" t="str">
        <v xml:space="preserve">	Nail Box / Nail Carton 6 cm length</v>
      </c>
      <c r="L403" s="21" t="str">
        <v>EA</v>
      </c>
    </row>
    <row r="404" spans="1:12" x14ac:dyDescent="0.25">
      <c r="A404" s="30" t="str">
        <v>26</v>
      </c>
      <c r="B404" s="21" t="str">
        <v>Electrical</v>
      </c>
      <c r="C404" s="21" t="str">
        <v>05</v>
      </c>
      <c r="D404" s="21" t="str">
        <v>Common Work Results for Electrical</v>
      </c>
      <c r="E404" s="21" t="str">
        <v>00.10</v>
      </c>
      <c r="F404" s="34" t="str">
        <v>مواد كهرباء</v>
      </c>
      <c r="G404" s="21">
        <v>0</v>
      </c>
      <c r="H404" s="21" t="str">
        <v>170</v>
      </c>
      <c r="I404" s="21" t="str">
        <v>26 05 00.10170</v>
      </c>
      <c r="J404" s="21" t="str">
        <v>مفتاح سكة واحدة لقمة واحدة-فنار</v>
      </c>
      <c r="K404" s="21" t="str">
        <v>ONE WAY ONE GANG SWITCH 10A</v>
      </c>
      <c r="L404" s="21">
        <v>0</v>
      </c>
    </row>
    <row r="405" spans="1:12" x14ac:dyDescent="0.25">
      <c r="A405" s="30" t="str">
        <v>26</v>
      </c>
      <c r="B405" s="21" t="str">
        <v>Electrical</v>
      </c>
      <c r="C405" s="21" t="str">
        <v>05</v>
      </c>
      <c r="D405" s="21" t="str">
        <v>Common Work Results for Electrical</v>
      </c>
      <c r="E405" s="21" t="str">
        <v>00.10</v>
      </c>
      <c r="F405" s="34" t="str">
        <v>مواد كهرباء</v>
      </c>
      <c r="G405" s="21">
        <v>0</v>
      </c>
      <c r="H405" s="21" t="str">
        <v>171</v>
      </c>
      <c r="I405" s="21" t="str">
        <v>26 05 00.10171</v>
      </c>
      <c r="J405" s="21" t="str">
        <v>مفتاح سكة واحدة 3 لقم-فنار</v>
      </c>
      <c r="K405" s="21" t="str">
        <v>ONE WAY THREE GANG SWITCH 10A</v>
      </c>
      <c r="L405" s="21">
        <v>0</v>
      </c>
    </row>
    <row r="406" spans="1:12" x14ac:dyDescent="0.25">
      <c r="A406" s="30" t="str">
        <v>26</v>
      </c>
      <c r="B406" s="21" t="str">
        <v>Electrical</v>
      </c>
      <c r="C406" s="21" t="str">
        <v>05</v>
      </c>
      <c r="D406" s="21" t="str">
        <v>Common Work Results for Electrical</v>
      </c>
      <c r="E406" s="21" t="str">
        <v>00.10</v>
      </c>
      <c r="F406" s="34" t="str">
        <v>مواد كهرباء</v>
      </c>
      <c r="G406" s="21">
        <v>0</v>
      </c>
      <c r="H406" s="21" t="str">
        <v>172</v>
      </c>
      <c r="I406" s="21" t="str">
        <v>26 05 00.10172</v>
      </c>
      <c r="J406" s="21" t="str">
        <v>مفتاح جرس-فنار</v>
      </c>
      <c r="K406" s="21" t="str">
        <v>DOOR BELL 10A WITH SWITCH</v>
      </c>
      <c r="L406" s="21">
        <v>0</v>
      </c>
    </row>
    <row r="407" spans="1:12" x14ac:dyDescent="0.25">
      <c r="A407" s="30" t="str">
        <v>26</v>
      </c>
      <c r="B407" s="21" t="str">
        <v>Electrical</v>
      </c>
      <c r="C407" s="21" t="str">
        <v>05</v>
      </c>
      <c r="D407" s="21" t="str">
        <v>Common Work Results for Electrical</v>
      </c>
      <c r="E407" s="21" t="str">
        <v>00.10</v>
      </c>
      <c r="F407" s="34" t="str">
        <v>مواد كهرباء</v>
      </c>
      <c r="G407" s="21">
        <v>0</v>
      </c>
      <c r="H407" s="21" t="str">
        <v>173</v>
      </c>
      <c r="I407" s="21" t="str">
        <v>26 05 00.10173</v>
      </c>
      <c r="J407" s="21" t="str">
        <v>جرس باب</v>
      </c>
      <c r="K407" s="21" t="str">
        <v>DOOR BELL</v>
      </c>
      <c r="L407" s="21">
        <v>0</v>
      </c>
    </row>
    <row r="408" spans="1:12" x14ac:dyDescent="0.25">
      <c r="A408" s="30" t="str">
        <v>26</v>
      </c>
      <c r="B408" s="21" t="str">
        <v>Electrical</v>
      </c>
      <c r="C408" s="21" t="str">
        <v>05</v>
      </c>
      <c r="D408" s="21" t="str">
        <v>Common Work Results for Electrical</v>
      </c>
      <c r="E408" s="21" t="str">
        <v>00.10</v>
      </c>
      <c r="F408" s="34" t="str">
        <v>مواد كهرباء</v>
      </c>
      <c r="G408" s="21">
        <v>0</v>
      </c>
      <c r="H408" s="21" t="str">
        <v>174</v>
      </c>
      <c r="I408" s="21" t="str">
        <v>26 05 00.10174</v>
      </c>
      <c r="J408" s="21" t="str">
        <v>مفتاح فصل سخان 20 امبير-فنار</v>
      </c>
      <c r="K408" s="21" t="str">
        <v xml:space="preserve"> DISCONNECT SWITCH 20 A FOR EWH</v>
      </c>
      <c r="L408" s="21">
        <v>0</v>
      </c>
    </row>
    <row r="409" spans="1:12" x14ac:dyDescent="0.25">
      <c r="A409" s="30" t="str">
        <v>26</v>
      </c>
      <c r="B409" s="21" t="str">
        <v>Electrical</v>
      </c>
      <c r="C409" s="21" t="str">
        <v>05</v>
      </c>
      <c r="D409" s="21" t="str">
        <v>Common Work Results for Electrical</v>
      </c>
      <c r="E409" s="21" t="str">
        <v>00.10</v>
      </c>
      <c r="F409" s="34" t="str">
        <v>مواد كهرباء</v>
      </c>
      <c r="G409" s="21">
        <v>0</v>
      </c>
      <c r="H409" s="21" t="str">
        <v>175</v>
      </c>
      <c r="I409" s="21" t="str">
        <v>26 05 00.10175</v>
      </c>
      <c r="J409" s="21" t="str">
        <v>مفتاح فصل تكييف 20 امبير-فنار</v>
      </c>
      <c r="K409" s="21" t="str">
        <v xml:space="preserve"> DISCONNECT SWITCH 20 A FOR AC</v>
      </c>
      <c r="L409" s="21">
        <v>0</v>
      </c>
    </row>
    <row r="410" spans="1:12" x14ac:dyDescent="0.25">
      <c r="A410" s="30" t="str">
        <v>26</v>
      </c>
      <c r="B410" s="21" t="str">
        <v>Electrical</v>
      </c>
      <c r="C410" s="21" t="str">
        <v>05</v>
      </c>
      <c r="D410" s="21" t="str">
        <v>Common Work Results for Electrical</v>
      </c>
      <c r="E410" s="21" t="str">
        <v>00.10</v>
      </c>
      <c r="F410" s="34" t="str">
        <v>مواد كهرباء</v>
      </c>
      <c r="G410" s="21">
        <v>0</v>
      </c>
      <c r="H410" s="21" t="str">
        <v>176</v>
      </c>
      <c r="I410" s="21" t="str">
        <v>26 05 00.10176</v>
      </c>
      <c r="J410" s="21" t="str">
        <v>مفتاح فصل تكييف 45 امبير-فنار</v>
      </c>
      <c r="K410" s="21" t="str">
        <v xml:space="preserve"> DISCONNECT SWITCH 45 A FOR AC</v>
      </c>
      <c r="L410" s="21">
        <v>0</v>
      </c>
    </row>
    <row r="411" spans="1:12" x14ac:dyDescent="0.25">
      <c r="A411" s="30" t="str">
        <v>26</v>
      </c>
      <c r="B411" s="21" t="str">
        <v>Electrical</v>
      </c>
      <c r="C411" s="21" t="str">
        <v>05</v>
      </c>
      <c r="D411" s="21" t="str">
        <v>Common Work Results for Electrical</v>
      </c>
      <c r="E411" s="21" t="str">
        <v>00.10</v>
      </c>
      <c r="F411" s="34" t="str">
        <v>مواد كهرباء</v>
      </c>
      <c r="G411" s="21">
        <v>0</v>
      </c>
      <c r="H411" s="21" t="str">
        <v>177</v>
      </c>
      <c r="I411" s="21" t="str">
        <v>26 05 00.10177</v>
      </c>
      <c r="J411" s="21" t="str">
        <v>فيش تليفزيون-فنار</v>
      </c>
      <c r="K411" s="21" t="str">
        <v xml:space="preserve">TV SOCKET </v>
      </c>
      <c r="L411" s="21">
        <v>0</v>
      </c>
    </row>
    <row r="412" spans="1:12" x14ac:dyDescent="0.25">
      <c r="A412" s="30" t="str">
        <v>26</v>
      </c>
      <c r="B412" s="21" t="str">
        <v>Electrical</v>
      </c>
      <c r="C412" s="21" t="str">
        <v>05</v>
      </c>
      <c r="D412" s="21" t="str">
        <v>Common Work Results for Electrical</v>
      </c>
      <c r="E412" s="21" t="str">
        <v>00.10</v>
      </c>
      <c r="F412" s="34" t="str">
        <v>مواد كهرباء</v>
      </c>
      <c r="G412" s="21">
        <v>0</v>
      </c>
      <c r="H412" s="21" t="str">
        <v>178</v>
      </c>
      <c r="I412" s="21" t="str">
        <v>26 05 00.10178</v>
      </c>
      <c r="J412" s="21" t="str">
        <v>سدادة ابيض-فنار</v>
      </c>
      <c r="K412" s="21" t="str">
        <v>WHITE BLANK</v>
      </c>
      <c r="L412" s="21">
        <v>0</v>
      </c>
    </row>
    <row r="413" spans="1:12" x14ac:dyDescent="0.25">
      <c r="A413" s="30" t="str">
        <v>26</v>
      </c>
      <c r="B413" s="21" t="str">
        <v>Electrical</v>
      </c>
      <c r="C413" s="21" t="str">
        <v>05</v>
      </c>
      <c r="D413" s="21" t="str">
        <v>Common Work Results for Electrical</v>
      </c>
      <c r="E413" s="21" t="str">
        <v>00.10</v>
      </c>
      <c r="F413" s="34" t="str">
        <v>مواد كهرباء</v>
      </c>
      <c r="G413" s="21">
        <v>0</v>
      </c>
      <c r="H413" s="21" t="str">
        <v>179</v>
      </c>
      <c r="I413" s="21" t="str">
        <v>26 05 00.10179</v>
      </c>
      <c r="J413" s="21" t="str">
        <v>سارينة صوتية</v>
      </c>
      <c r="K413" s="21" t="str">
        <v>CONVENTIONAL SOUNDER</v>
      </c>
      <c r="L413" s="21" t="str">
        <v>EA</v>
      </c>
    </row>
    <row r="414" spans="1:12" ht="30" x14ac:dyDescent="0.25">
      <c r="A414" s="30" t="str">
        <v>26</v>
      </c>
      <c r="B414" s="21" t="str">
        <v>Electrical</v>
      </c>
      <c r="C414" s="21" t="str">
        <v>05</v>
      </c>
      <c r="D414" s="21" t="str">
        <v>Common Work Results for Electrical</v>
      </c>
      <c r="E414" s="21" t="str">
        <v>00.10</v>
      </c>
      <c r="F414" s="34" t="str">
        <v>مواد كهرباء</v>
      </c>
      <c r="G414" s="21">
        <v>0</v>
      </c>
      <c r="H414" s="21" t="str">
        <v>180</v>
      </c>
      <c r="I414" s="21" t="str">
        <v>26 05 00.10180</v>
      </c>
      <c r="J414" s="21" t="str">
        <v>كاشف دخان بقاعدة صوتية</v>
      </c>
      <c r="K414" s="21" t="str">
        <v>CONVENTIONAL SMOKE DETECTOR
CONVENTIONAL SOUND BASE</v>
      </c>
      <c r="L414" s="21" t="str">
        <v>EA</v>
      </c>
    </row>
    <row r="415" spans="1:12" ht="30" x14ac:dyDescent="0.25">
      <c r="A415" s="30" t="str">
        <v>26</v>
      </c>
      <c r="B415" s="21" t="str">
        <v>Electrical</v>
      </c>
      <c r="C415" s="21" t="str">
        <v>05</v>
      </c>
      <c r="D415" s="21" t="str">
        <v>Common Work Results for Electrical</v>
      </c>
      <c r="E415" s="21" t="str">
        <v>00.10</v>
      </c>
      <c r="F415" s="34" t="str">
        <v>مواد كهرباء</v>
      </c>
      <c r="G415" s="21">
        <v>0</v>
      </c>
      <c r="H415" s="21" t="str">
        <v>181</v>
      </c>
      <c r="I415" s="21" t="str">
        <v>26 05 00.10181</v>
      </c>
      <c r="J415" s="21" t="str">
        <v>كاشف حرارة بقاعدة عادية</v>
      </c>
      <c r="K415" s="21" t="str">
        <v>CONVENTIONAL HEAT DETECTOR 
WITH CONVENTIONAL BASE</v>
      </c>
      <c r="L415" s="21" t="str">
        <v>EA</v>
      </c>
    </row>
    <row r="416" spans="1:12" x14ac:dyDescent="0.25">
      <c r="A416" s="30" t="str">
        <v>26</v>
      </c>
      <c r="B416" s="21" t="str">
        <v>Electrical</v>
      </c>
      <c r="C416" s="21" t="str">
        <v>05</v>
      </c>
      <c r="D416" s="21" t="str">
        <v>Common Work Results for Electrical</v>
      </c>
      <c r="E416" s="21" t="str">
        <v>00.10</v>
      </c>
      <c r="F416" s="34" t="str">
        <v>مواد كهرباء</v>
      </c>
      <c r="G416" s="21">
        <v>0</v>
      </c>
      <c r="H416" s="21" t="str">
        <v>182</v>
      </c>
      <c r="I416" s="21" t="str">
        <v>26 05 00.10182</v>
      </c>
      <c r="J416" s="21" t="str">
        <v>كاسر</v>
      </c>
      <c r="K416" s="21" t="str">
        <v>CONVENTIONAL CALL POINT</v>
      </c>
      <c r="L416" s="21" t="str">
        <v>EA</v>
      </c>
    </row>
    <row r="417" spans="1:12" x14ac:dyDescent="0.25">
      <c r="A417" s="30">
        <v>0</v>
      </c>
      <c r="B417" s="21">
        <v>0</v>
      </c>
      <c r="C417" s="21">
        <v>0</v>
      </c>
      <c r="D417" s="21">
        <v>0</v>
      </c>
      <c r="E417" s="21">
        <v>0</v>
      </c>
      <c r="F417" s="34">
        <v>0</v>
      </c>
      <c r="G417" s="21">
        <v>0</v>
      </c>
      <c r="H417" s="21">
        <v>0</v>
      </c>
      <c r="I417" s="21">
        <v>0</v>
      </c>
      <c r="J417" s="21">
        <v>0</v>
      </c>
      <c r="K417" s="21">
        <v>0</v>
      </c>
      <c r="L417" s="21">
        <v>0</v>
      </c>
    </row>
    <row r="418" spans="1:12" x14ac:dyDescent="0.25">
      <c r="A418" s="30" t="str">
        <v>22</v>
      </c>
      <c r="B418" s="21" t="str">
        <v>Plumbing</v>
      </c>
      <c r="C418" s="21" t="str">
        <v>05</v>
      </c>
      <c r="D418" s="21" t="str">
        <v>Common Work Results for Plumbing</v>
      </c>
      <c r="E418" s="21" t="str">
        <v>00.10</v>
      </c>
      <c r="F418" s="34" t="str">
        <v>مواد ميكانيكا</v>
      </c>
      <c r="G418" s="21" t="str">
        <v>Plumbing Materials</v>
      </c>
      <c r="H418" s="21" t="str">
        <v>03</v>
      </c>
      <c r="I418" s="21" t="str">
        <v>22 05 00.1003</v>
      </c>
      <c r="J418" s="21" t="str">
        <v>ماسوره 160 مم كلاس 3 UPVC رمادى</v>
      </c>
      <c r="K418" s="21" t="str">
        <v>UPVC Pipe 160 mm Class 3 Gray</v>
      </c>
      <c r="L418" s="21">
        <v>0</v>
      </c>
    </row>
    <row r="419" spans="1:12" x14ac:dyDescent="0.25">
      <c r="A419" s="30" t="str">
        <v>22</v>
      </c>
      <c r="B419" s="21" t="str">
        <v>Plumbing</v>
      </c>
      <c r="C419" s="21" t="str">
        <v>05</v>
      </c>
      <c r="D419" s="21" t="str">
        <v>Common Work Results for Plumbing</v>
      </c>
      <c r="E419" s="21" t="str">
        <v>00.10</v>
      </c>
      <c r="F419" s="34" t="str">
        <v>مواد ميكانيكا</v>
      </c>
      <c r="G419" s="21" t="str">
        <v>Plumbing Materials</v>
      </c>
      <c r="H419" s="21" t="str">
        <v>04</v>
      </c>
      <c r="I419" s="21" t="str">
        <v>22 05 00.1004</v>
      </c>
      <c r="J419" s="21" t="str">
        <v>ماسوره م 32</v>
      </c>
      <c r="K419" s="21" t="str">
        <v>Pipe 32 mm</v>
      </c>
      <c r="L419" s="21">
        <v>0</v>
      </c>
    </row>
    <row r="420" spans="1:12" x14ac:dyDescent="0.25">
      <c r="A420" s="30" t="str">
        <v>22</v>
      </c>
      <c r="B420" s="21" t="str">
        <v>Plumbing</v>
      </c>
      <c r="C420" s="21" t="str">
        <v>05</v>
      </c>
      <c r="D420" s="21" t="str">
        <v>Common Work Results for Plumbing</v>
      </c>
      <c r="E420" s="21" t="str">
        <v>00.10</v>
      </c>
      <c r="F420" s="34" t="str">
        <v>مواد ميكانيكا</v>
      </c>
      <c r="G420" s="21" t="str">
        <v>Plumbing Materials</v>
      </c>
      <c r="H420" s="21" t="str">
        <v>05</v>
      </c>
      <c r="I420" s="21" t="str">
        <v>22 05 00.1005</v>
      </c>
      <c r="J420" s="21" t="str">
        <v>كوع ريحه بى فى سى 4 بوصه</v>
      </c>
      <c r="K420" s="21" t="str">
        <v>PVC Vent Elbow 4 inch</v>
      </c>
      <c r="L420" s="21">
        <v>0</v>
      </c>
    </row>
    <row r="421" spans="1:12" x14ac:dyDescent="0.25">
      <c r="A421" s="30" t="str">
        <v>22</v>
      </c>
      <c r="B421" s="21" t="str">
        <v>Plumbing</v>
      </c>
      <c r="C421" s="21" t="str">
        <v>05</v>
      </c>
      <c r="D421" s="21" t="str">
        <v>Common Work Results for Plumbing</v>
      </c>
      <c r="E421" s="21" t="str">
        <v>00.10</v>
      </c>
      <c r="F421" s="34" t="str">
        <v>مواد ميكانيكا</v>
      </c>
      <c r="G421" s="21" t="str">
        <v>Plumbing Materials</v>
      </c>
      <c r="H421" s="21" t="str">
        <v>06</v>
      </c>
      <c r="I421" s="21" t="str">
        <v>22 05 00.1006</v>
      </c>
      <c r="J421" s="21" t="str">
        <v>ماسوره 110 مم كلاس 3 UPVC</v>
      </c>
      <c r="K421" s="21" t="str">
        <v>UPVC Pipe 110 mm Class 3</v>
      </c>
      <c r="L421" s="21">
        <v>0</v>
      </c>
    </row>
    <row r="422" spans="1:12" x14ac:dyDescent="0.25">
      <c r="A422" s="30" t="str">
        <v>22</v>
      </c>
      <c r="B422" s="21" t="str">
        <v>Plumbing</v>
      </c>
      <c r="C422" s="21" t="str">
        <v>05</v>
      </c>
      <c r="D422" s="21" t="str">
        <v>Common Work Results for Plumbing</v>
      </c>
      <c r="E422" s="21" t="str">
        <v>00.10</v>
      </c>
      <c r="F422" s="34" t="str">
        <v>مواد ميكانيكا</v>
      </c>
      <c r="G422" s="21" t="str">
        <v>Plumbing Materials</v>
      </c>
      <c r="H422" s="21" t="str">
        <v>07</v>
      </c>
      <c r="I422" s="21" t="str">
        <v>22 05 00.1007</v>
      </c>
      <c r="J422" s="21" t="str">
        <v>ماسوره بى فى سى 4 بوصه جدول 40</v>
      </c>
      <c r="K422" s="21" t="str">
        <v>PVC Pipe 4 inch Schedule 40</v>
      </c>
      <c r="L422" s="21">
        <v>0</v>
      </c>
    </row>
    <row r="423" spans="1:12" x14ac:dyDescent="0.25">
      <c r="A423" s="30" t="str">
        <v>22</v>
      </c>
      <c r="B423" s="21" t="str">
        <v>Plumbing</v>
      </c>
      <c r="C423" s="21" t="str">
        <v>05</v>
      </c>
      <c r="D423" s="21" t="str">
        <v>Common Work Results for Plumbing</v>
      </c>
      <c r="E423" s="21" t="str">
        <v>00.10</v>
      </c>
      <c r="F423" s="34" t="str">
        <v>مواد ميكانيكا</v>
      </c>
      <c r="G423" s="21" t="str">
        <v>Plumbing Materials</v>
      </c>
      <c r="H423" s="21" t="str">
        <v>08</v>
      </c>
      <c r="I423" s="21" t="str">
        <v>22 05 00.1008</v>
      </c>
      <c r="J423" s="21" t="str">
        <v>سده بى فى سى 2 بوصه جدول 40</v>
      </c>
      <c r="K423" s="21" t="str">
        <v>PVC Cap 2 inch Schedule 40</v>
      </c>
      <c r="L423" s="21">
        <v>0</v>
      </c>
    </row>
    <row r="424" spans="1:12" x14ac:dyDescent="0.25">
      <c r="A424" s="30" t="str">
        <v>22</v>
      </c>
      <c r="B424" s="21" t="str">
        <v>Plumbing</v>
      </c>
      <c r="C424" s="21" t="str">
        <v>05</v>
      </c>
      <c r="D424" s="21" t="str">
        <v>Common Work Results for Plumbing</v>
      </c>
      <c r="E424" s="21" t="str">
        <v>00.10</v>
      </c>
      <c r="F424" s="34" t="str">
        <v>مواد ميكانيكا</v>
      </c>
      <c r="G424" s="21" t="str">
        <v>Plumbing Materials</v>
      </c>
      <c r="H424" s="21" t="str">
        <v>09</v>
      </c>
      <c r="I424" s="21" t="str">
        <v>22 05 00.1009</v>
      </c>
      <c r="J424" s="21" t="str">
        <v>ماسوره 3" بى فى سى SCH 40</v>
      </c>
      <c r="K424" s="21" t="str">
        <v>PVC Pipe 3 inch Schedule 40</v>
      </c>
      <c r="L424" s="21">
        <v>0</v>
      </c>
    </row>
    <row r="425" spans="1:12" x14ac:dyDescent="0.25">
      <c r="A425" s="30" t="str">
        <v>22</v>
      </c>
      <c r="B425" s="21" t="str">
        <v>Plumbing</v>
      </c>
      <c r="C425" s="21" t="str">
        <v>05</v>
      </c>
      <c r="D425" s="21" t="str">
        <v>Common Work Results for Plumbing</v>
      </c>
      <c r="E425" s="21" t="str">
        <v>00.10</v>
      </c>
      <c r="F425" s="34" t="str">
        <v>مواد ميكانيكا</v>
      </c>
      <c r="G425" s="21" t="str">
        <v>Plumbing Materials</v>
      </c>
      <c r="H425" s="21" t="str">
        <v>10</v>
      </c>
      <c r="I425" s="21" t="str">
        <v>22 05 00.1010</v>
      </c>
      <c r="J425" s="21" t="str">
        <v>كوع زاويه بى فى سى 2 بوصه جدول 40</v>
      </c>
      <c r="K425" s="21" t="str">
        <v>PVC Angle Elbow 2 inch Schedule 40</v>
      </c>
      <c r="L425" s="21">
        <v>0</v>
      </c>
    </row>
    <row r="426" spans="1:12" ht="30" x14ac:dyDescent="0.25">
      <c r="A426" s="30" t="str">
        <v>22</v>
      </c>
      <c r="B426" s="21" t="str">
        <v>Plumbing</v>
      </c>
      <c r="C426" s="21" t="str">
        <v>05</v>
      </c>
      <c r="D426" s="21" t="str">
        <v>Common Work Results for Plumbing</v>
      </c>
      <c r="E426" s="21" t="str">
        <v>00.10</v>
      </c>
      <c r="F426" s="34" t="str">
        <v>مواد ميكانيكا</v>
      </c>
      <c r="G426" s="21" t="str">
        <v>Plumbing Materials</v>
      </c>
      <c r="H426" s="21" t="str">
        <v>11</v>
      </c>
      <c r="I426" s="21" t="str">
        <v>22 05 00.1011</v>
      </c>
      <c r="J426" s="21" t="str">
        <v>كوع فاتح بى فى سى 2 بوصه جدول 40</v>
      </c>
      <c r="K426" s="21" t="str">
        <v>PVC Cleanout Elbow 2 inch Schedule 40</v>
      </c>
      <c r="L426" s="21">
        <v>0</v>
      </c>
    </row>
    <row r="427" spans="1:12" ht="30" x14ac:dyDescent="0.25">
      <c r="A427" s="30" t="str">
        <v>22</v>
      </c>
      <c r="B427" s="21" t="str">
        <v>Plumbing</v>
      </c>
      <c r="C427" s="21" t="str">
        <v>05</v>
      </c>
      <c r="D427" s="21" t="str">
        <v>Common Work Results for Plumbing</v>
      </c>
      <c r="E427" s="21" t="str">
        <v>00.10</v>
      </c>
      <c r="F427" s="34" t="str">
        <v>مواد ميكانيكا</v>
      </c>
      <c r="G427" s="21" t="str">
        <v>Plumbing Materials</v>
      </c>
      <c r="H427" s="21" t="str">
        <v>12</v>
      </c>
      <c r="I427" s="21" t="str">
        <v>22 05 00.1012</v>
      </c>
      <c r="J427" s="21" t="str">
        <v>كوع فاتح بى فى سى 1 بوصه جدول 40</v>
      </c>
      <c r="K427" s="21" t="str">
        <v>PVC Cleanout Elbow 1 inch Schedule 40</v>
      </c>
      <c r="L427" s="21">
        <v>0</v>
      </c>
    </row>
    <row r="428" spans="1:12" x14ac:dyDescent="0.25">
      <c r="A428" s="30" t="str">
        <v>22</v>
      </c>
      <c r="B428" s="21" t="str">
        <v>Plumbing</v>
      </c>
      <c r="C428" s="21" t="str">
        <v>05</v>
      </c>
      <c r="D428" s="21" t="str">
        <v>Common Work Results for Plumbing</v>
      </c>
      <c r="E428" s="21" t="str">
        <v>00.10</v>
      </c>
      <c r="F428" s="34" t="str">
        <v>مواد ميكانيكا</v>
      </c>
      <c r="G428" s="21" t="str">
        <v>Plumbing Materials</v>
      </c>
      <c r="H428" s="21" t="str">
        <v>13</v>
      </c>
      <c r="I428" s="21" t="str">
        <v>22 05 00.1013</v>
      </c>
      <c r="J428" s="21" t="str">
        <v>كوع لحام 25</v>
      </c>
      <c r="K428" s="21" t="str">
        <v>Welding Elbow 25 mm</v>
      </c>
      <c r="L428" s="21">
        <v>0</v>
      </c>
    </row>
    <row r="429" spans="1:12" x14ac:dyDescent="0.25">
      <c r="A429" s="30" t="str">
        <v>22</v>
      </c>
      <c r="B429" s="21" t="str">
        <v>Plumbing</v>
      </c>
      <c r="C429" s="21" t="str">
        <v>05</v>
      </c>
      <c r="D429" s="21" t="str">
        <v>Common Work Results for Plumbing</v>
      </c>
      <c r="E429" s="21" t="str">
        <v>00.10</v>
      </c>
      <c r="F429" s="34" t="str">
        <v>مواد ميكانيكا</v>
      </c>
      <c r="G429" s="21" t="str">
        <v>Plumbing Materials</v>
      </c>
      <c r="H429" s="21" t="str">
        <v>14</v>
      </c>
      <c r="I429" s="21" t="str">
        <v>22 05 00.1014</v>
      </c>
      <c r="J429" s="21" t="str">
        <v>كوع لحام 32</v>
      </c>
      <c r="K429" s="21" t="str">
        <v>Welding Elbow 32 mm</v>
      </c>
      <c r="L429" s="21">
        <v>0</v>
      </c>
    </row>
    <row r="430" spans="1:12" x14ac:dyDescent="0.25">
      <c r="A430" s="30" t="str">
        <v>22</v>
      </c>
      <c r="B430" s="21" t="str">
        <v>Plumbing</v>
      </c>
      <c r="C430" s="21" t="str">
        <v>05</v>
      </c>
      <c r="D430" s="21" t="str">
        <v>Common Work Results for Plumbing</v>
      </c>
      <c r="E430" s="21" t="str">
        <v>00.10</v>
      </c>
      <c r="F430" s="34" t="str">
        <v>مواد ميكانيكا</v>
      </c>
      <c r="G430" s="21" t="str">
        <v>Plumbing Materials</v>
      </c>
      <c r="H430" s="21" t="str">
        <v>15</v>
      </c>
      <c r="I430" s="21" t="str">
        <v>22 05 00.1015</v>
      </c>
      <c r="J430" s="21" t="str">
        <v>مسلوب 32*25</v>
      </c>
      <c r="K430" s="21" t="str">
        <v>Reducer 32x25 mm</v>
      </c>
      <c r="L430" s="21">
        <v>0</v>
      </c>
    </row>
    <row r="431" spans="1:12" x14ac:dyDescent="0.25">
      <c r="A431" s="30" t="str">
        <v>22</v>
      </c>
      <c r="B431" s="21" t="str">
        <v>Plumbing</v>
      </c>
      <c r="C431" s="21" t="str">
        <v>05</v>
      </c>
      <c r="D431" s="21" t="str">
        <v>Common Work Results for Plumbing</v>
      </c>
      <c r="E431" s="21" t="str">
        <v>00.10</v>
      </c>
      <c r="F431" s="34" t="str">
        <v>مواد ميكانيكا</v>
      </c>
      <c r="G431" s="21" t="str">
        <v>Plumbing Materials</v>
      </c>
      <c r="H431" s="21" t="str">
        <v>16</v>
      </c>
      <c r="I431" s="21" t="str">
        <v>22 05 00.1016</v>
      </c>
      <c r="J431" s="21" t="str">
        <v>مشترك 50 لحام</v>
      </c>
      <c r="K431" s="21" t="str">
        <v>Welding Coupling 50 mm</v>
      </c>
      <c r="L431" s="21">
        <v>0</v>
      </c>
    </row>
    <row r="432" spans="1:12" x14ac:dyDescent="0.25">
      <c r="A432" s="30" t="str">
        <v>22</v>
      </c>
      <c r="B432" s="21" t="str">
        <v>Plumbing</v>
      </c>
      <c r="C432" s="21" t="str">
        <v>05</v>
      </c>
      <c r="D432" s="21" t="str">
        <v>Common Work Results for Plumbing</v>
      </c>
      <c r="E432" s="21" t="str">
        <v>00.10</v>
      </c>
      <c r="F432" s="34" t="str">
        <v>مواد ميكانيكا</v>
      </c>
      <c r="G432" s="21" t="str">
        <v>Plumbing Materials</v>
      </c>
      <c r="H432" s="21" t="str">
        <v>17</v>
      </c>
      <c r="I432" s="21" t="str">
        <v>22 05 00.1017</v>
      </c>
      <c r="J432" s="21" t="str">
        <v>مشترك مسلوب 50/25</v>
      </c>
      <c r="K432" s="21" t="str">
        <v>Reducing Coupling 50/25 mm</v>
      </c>
      <c r="L432" s="21">
        <v>0</v>
      </c>
    </row>
    <row r="433" spans="1:12" x14ac:dyDescent="0.25">
      <c r="A433" s="30" t="str">
        <v>22</v>
      </c>
      <c r="B433" s="21" t="str">
        <v>Plumbing</v>
      </c>
      <c r="C433" s="21" t="str">
        <v>05</v>
      </c>
      <c r="D433" s="21" t="str">
        <v>Common Work Results for Plumbing</v>
      </c>
      <c r="E433" s="21" t="str">
        <v>00.10</v>
      </c>
      <c r="F433" s="34" t="str">
        <v>مواد ميكانيكا</v>
      </c>
      <c r="G433" s="21" t="str">
        <v>Plumbing Materials</v>
      </c>
      <c r="H433" s="21" t="str">
        <v>18</v>
      </c>
      <c r="I433" s="21" t="str">
        <v>22 05 00.1018</v>
      </c>
      <c r="J433" s="21" t="str">
        <v>ماسوره 50</v>
      </c>
      <c r="K433" s="21" t="str">
        <v>Pipe 50 mm</v>
      </c>
      <c r="L433" s="21">
        <v>0</v>
      </c>
    </row>
    <row r="434" spans="1:12" x14ac:dyDescent="0.25">
      <c r="A434" s="30" t="str">
        <v>22</v>
      </c>
      <c r="B434" s="21" t="str">
        <v>Plumbing</v>
      </c>
      <c r="C434" s="21" t="str">
        <v>05</v>
      </c>
      <c r="D434" s="21" t="str">
        <v>Common Work Results for Plumbing</v>
      </c>
      <c r="E434" s="21" t="str">
        <v>00.10</v>
      </c>
      <c r="F434" s="34" t="str">
        <v>مواد ميكانيكا</v>
      </c>
      <c r="G434" s="21" t="str">
        <v>Plumbing Materials</v>
      </c>
      <c r="H434" s="21" t="str">
        <v>19</v>
      </c>
      <c r="I434" s="21" t="str">
        <v>22 05 00.1019</v>
      </c>
      <c r="J434" s="21" t="str">
        <v>ماسوره 25</v>
      </c>
      <c r="K434" s="21" t="str">
        <v>Pipe 25 mm</v>
      </c>
      <c r="L434" s="21">
        <v>0</v>
      </c>
    </row>
    <row r="435" spans="1:12" ht="30" x14ac:dyDescent="0.25">
      <c r="A435" s="30" t="str">
        <v>22</v>
      </c>
      <c r="B435" s="21" t="str">
        <v>Plumbing</v>
      </c>
      <c r="C435" s="21" t="str">
        <v>05</v>
      </c>
      <c r="D435" s="21" t="str">
        <v>Common Work Results for Plumbing</v>
      </c>
      <c r="E435" s="21" t="str">
        <v>00.10</v>
      </c>
      <c r="F435" s="34" t="str">
        <v>مواد ميكانيكا</v>
      </c>
      <c r="G435" s="21" t="str">
        <v>Plumbing Materials</v>
      </c>
      <c r="H435" s="21" t="str">
        <v>20</v>
      </c>
      <c r="I435" s="21" t="str">
        <v>22 05 00.1020</v>
      </c>
      <c r="J435" s="21" t="str">
        <v>محبس 50 بليه مزود ب 2 لاكور قلب ولواكير نحاس</v>
      </c>
      <c r="K435" s="21" t="str">
        <v>Ball Valve 50 mm with 2 Brass Cores and Washers</v>
      </c>
      <c r="L435" s="21">
        <v>0</v>
      </c>
    </row>
    <row r="436" spans="1:12" x14ac:dyDescent="0.25">
      <c r="A436" s="30" t="str">
        <v>22</v>
      </c>
      <c r="B436" s="21" t="str">
        <v>Plumbing</v>
      </c>
      <c r="C436" s="21" t="str">
        <v>05</v>
      </c>
      <c r="D436" s="21" t="str">
        <v>Common Work Results for Plumbing</v>
      </c>
      <c r="E436" s="21" t="str">
        <v>00.10</v>
      </c>
      <c r="F436" s="34" t="str">
        <v>مواد ميكانيكا</v>
      </c>
      <c r="G436" s="21" t="str">
        <v>Plumbing Materials</v>
      </c>
      <c r="H436" s="21" t="str">
        <v>21</v>
      </c>
      <c r="I436" s="21" t="str">
        <v>22 05 00.1021</v>
      </c>
      <c r="J436" s="21" t="str">
        <v>تفلون</v>
      </c>
      <c r="K436" s="21" t="str">
        <v>Teflon Tape</v>
      </c>
      <c r="L436" s="21">
        <v>0</v>
      </c>
    </row>
    <row r="437" spans="1:12" x14ac:dyDescent="0.25">
      <c r="A437" s="30" t="str">
        <v>22</v>
      </c>
      <c r="B437" s="21" t="str">
        <v>Plumbing</v>
      </c>
      <c r="C437" s="21" t="str">
        <v>05</v>
      </c>
      <c r="D437" s="21" t="str">
        <v>Common Work Results for Plumbing</v>
      </c>
      <c r="E437" s="21" t="str">
        <v>00.10</v>
      </c>
      <c r="F437" s="34" t="str">
        <v>مواد ميكانيكا</v>
      </c>
      <c r="G437" s="21" t="str">
        <v>Plumbing Materials</v>
      </c>
      <c r="H437" s="21" t="str">
        <v>22</v>
      </c>
      <c r="I437" s="21" t="str">
        <v>22 05 00.1022</v>
      </c>
      <c r="J437" s="21" t="str">
        <v>كوع ريحه 3" بى فى سى SCH 40</v>
      </c>
      <c r="K437" s="21" t="str">
        <v>PVC Vent Elbow 3 inch Schedule 40</v>
      </c>
      <c r="L437" s="21">
        <v>0</v>
      </c>
    </row>
    <row r="438" spans="1:12" x14ac:dyDescent="0.25">
      <c r="A438" s="30" t="str">
        <v>22</v>
      </c>
      <c r="B438" s="21" t="str">
        <v>Plumbing</v>
      </c>
      <c r="C438" s="21" t="str">
        <v>05</v>
      </c>
      <c r="D438" s="21" t="str">
        <v>Common Work Results for Plumbing</v>
      </c>
      <c r="E438" s="21" t="str">
        <v>00.10</v>
      </c>
      <c r="F438" s="34" t="str">
        <v>مواد ميكانيكا</v>
      </c>
      <c r="G438" s="21" t="str">
        <v>Plumbing Materials</v>
      </c>
      <c r="H438" s="21" t="str">
        <v>23</v>
      </c>
      <c r="I438" s="21" t="str">
        <v>22 05 00.1023</v>
      </c>
      <c r="J438" s="21" t="str">
        <v>ماسوره 75 مم كلاس 3 UPVC</v>
      </c>
      <c r="K438" s="21" t="str">
        <v>UPVC Pipe 75 mm Class 3</v>
      </c>
      <c r="L438" s="21">
        <v>0</v>
      </c>
    </row>
    <row r="439" spans="1:12" x14ac:dyDescent="0.25">
      <c r="A439" s="30" t="str">
        <v>22</v>
      </c>
      <c r="B439" s="21" t="str">
        <v>Plumbing</v>
      </c>
      <c r="C439" s="21" t="str">
        <v>05</v>
      </c>
      <c r="D439" s="21" t="str">
        <v>Common Work Results for Plumbing</v>
      </c>
      <c r="E439" s="21" t="str">
        <v>00.10</v>
      </c>
      <c r="F439" s="34" t="str">
        <v>مواد ميكانيكا</v>
      </c>
      <c r="G439" s="21" t="str">
        <v>Plumbing Materials</v>
      </c>
      <c r="H439" s="21" t="str">
        <v>24</v>
      </c>
      <c r="I439" s="21" t="str">
        <v>22 05 00.1024</v>
      </c>
      <c r="J439" s="21" t="str">
        <v>غراء</v>
      </c>
      <c r="K439" s="21" t="str">
        <v>PVC Glue</v>
      </c>
      <c r="L439" s="21">
        <v>0</v>
      </c>
    </row>
    <row r="440" spans="1:12" x14ac:dyDescent="0.25">
      <c r="A440" s="30" t="str">
        <v>22</v>
      </c>
      <c r="B440" s="21" t="str">
        <v>Plumbing</v>
      </c>
      <c r="C440" s="21" t="str">
        <v>05</v>
      </c>
      <c r="D440" s="21" t="str">
        <v>Common Work Results for Plumbing</v>
      </c>
      <c r="E440" s="21" t="str">
        <v>00.10</v>
      </c>
      <c r="F440" s="34" t="str">
        <v>مواد ميكانيكا</v>
      </c>
      <c r="G440" s="21" t="str">
        <v>Plumbing Materials</v>
      </c>
      <c r="H440" s="21" t="str">
        <v>25</v>
      </c>
      <c r="I440" s="21" t="str">
        <v>22 05 00.1025</v>
      </c>
      <c r="J440" s="21" t="str">
        <v>نقاص 4/3</v>
      </c>
      <c r="K440" s="21" t="str">
        <v>Reducer 4/3 inch</v>
      </c>
      <c r="L440" s="21">
        <v>0</v>
      </c>
    </row>
    <row r="441" spans="1:12" x14ac:dyDescent="0.25">
      <c r="A441" s="30" t="str">
        <v>22</v>
      </c>
      <c r="B441" s="21" t="str">
        <v>Plumbing</v>
      </c>
      <c r="C441" s="21" t="str">
        <v>05</v>
      </c>
      <c r="D441" s="21" t="str">
        <v>Common Work Results for Plumbing</v>
      </c>
      <c r="E441" s="21" t="str">
        <v>00.10</v>
      </c>
      <c r="F441" s="34" t="str">
        <v>مواد ميكانيكا</v>
      </c>
      <c r="G441" s="21" t="str">
        <v>Plumbing Materials</v>
      </c>
      <c r="H441" s="21" t="str">
        <v>26</v>
      </c>
      <c r="I441" s="21" t="str">
        <v>22 05 00.1026</v>
      </c>
      <c r="J441" s="21" t="str">
        <v>جلبه 4" بى فى سى SCH 40</v>
      </c>
      <c r="K441" s="21" t="str">
        <v>PVC Coupling 4 inch Schedule 40</v>
      </c>
      <c r="L441" s="21">
        <v>0</v>
      </c>
    </row>
    <row r="442" spans="1:12" x14ac:dyDescent="0.25">
      <c r="A442" s="30" t="str">
        <v>22</v>
      </c>
      <c r="B442" s="21" t="str">
        <v>Plumbing</v>
      </c>
      <c r="C442" s="21" t="str">
        <v>05</v>
      </c>
      <c r="D442" s="21" t="str">
        <v>Common Work Results for Plumbing</v>
      </c>
      <c r="E442" s="21" t="str">
        <v>00.10</v>
      </c>
      <c r="F442" s="34" t="str">
        <v>مواد ميكانيكا</v>
      </c>
      <c r="G442" s="21" t="str">
        <v>Plumbing Materials</v>
      </c>
      <c r="H442" s="21" t="str">
        <v>27</v>
      </c>
      <c r="I442" s="21" t="str">
        <v>22 05 00.1027</v>
      </c>
      <c r="J442" s="21" t="str">
        <v>سده 3" بى فى سى SCH 40</v>
      </c>
      <c r="K442" s="21" t="str">
        <v>PVC Cap 3 inch Schedule 40</v>
      </c>
      <c r="L442" s="21">
        <v>0</v>
      </c>
    </row>
    <row r="443" spans="1:12" x14ac:dyDescent="0.25">
      <c r="A443" s="30" t="str">
        <v>22</v>
      </c>
      <c r="B443" s="21" t="str">
        <v>Plumbing</v>
      </c>
      <c r="C443" s="21" t="str">
        <v>05</v>
      </c>
      <c r="D443" s="21" t="str">
        <v>Common Work Results for Plumbing</v>
      </c>
      <c r="E443" s="21" t="str">
        <v>00.10</v>
      </c>
      <c r="F443" s="34" t="str">
        <v>مواد ميكانيكا</v>
      </c>
      <c r="G443" s="21" t="str">
        <v>Plumbing Materials</v>
      </c>
      <c r="H443" s="21" t="str">
        <v>28</v>
      </c>
      <c r="I443" s="21" t="str">
        <v>22 05 00.1028</v>
      </c>
      <c r="J443" s="21" t="str">
        <v>سده بى فى سى 4 بوصه جدول 40</v>
      </c>
      <c r="K443" s="21" t="str">
        <v>PVC Cap 4 inch Schedule 40</v>
      </c>
      <c r="L443" s="21">
        <v>0</v>
      </c>
    </row>
    <row r="444" spans="1:12" x14ac:dyDescent="0.25">
      <c r="A444" s="30" t="str">
        <v>22</v>
      </c>
      <c r="B444" s="21" t="str">
        <v>Plumbing</v>
      </c>
      <c r="C444" s="21" t="str">
        <v>05</v>
      </c>
      <c r="D444" s="21" t="str">
        <v>Common Work Results for Plumbing</v>
      </c>
      <c r="E444" s="21" t="str">
        <v>00.10</v>
      </c>
      <c r="F444" s="34" t="str">
        <v>مواد ميكانيكا</v>
      </c>
      <c r="G444" s="21" t="str">
        <v>Plumbing Materials</v>
      </c>
      <c r="H444" s="21" t="str">
        <v>29</v>
      </c>
      <c r="I444" s="21" t="str">
        <v>22 05 00.1029</v>
      </c>
      <c r="J444" s="21" t="str">
        <v>منظف</v>
      </c>
      <c r="K444" s="21" t="str">
        <v>PVC Cleaner</v>
      </c>
      <c r="L444" s="21">
        <v>0</v>
      </c>
    </row>
    <row r="445" spans="1:12" x14ac:dyDescent="0.25">
      <c r="A445" s="30" t="str">
        <v>22</v>
      </c>
      <c r="B445" s="21" t="str">
        <v>Plumbing</v>
      </c>
      <c r="C445" s="21" t="str">
        <v>05</v>
      </c>
      <c r="D445" s="21" t="str">
        <v>Common Work Results for Plumbing</v>
      </c>
      <c r="E445" s="21" t="str">
        <v>00.10</v>
      </c>
      <c r="F445" s="34" t="str">
        <v>مواد ميكانيكا</v>
      </c>
      <c r="G445" s="21" t="str">
        <v>Plumbing Materials</v>
      </c>
      <c r="H445" s="21" t="str">
        <v>30</v>
      </c>
      <c r="I445" s="21" t="str">
        <v>22 05 00.1030</v>
      </c>
      <c r="J445" s="21" t="str">
        <v>كوع 75 / 90</v>
      </c>
      <c r="K445" s="21" t="str">
        <v>Elbow 75/90 degrees</v>
      </c>
      <c r="L445" s="21">
        <v>0</v>
      </c>
    </row>
    <row r="446" spans="1:12" ht="30" x14ac:dyDescent="0.25">
      <c r="A446" s="30" t="str">
        <v>22</v>
      </c>
      <c r="B446" s="21" t="str">
        <v>Plumbing</v>
      </c>
      <c r="C446" s="21" t="str">
        <v>05</v>
      </c>
      <c r="D446" s="21" t="str">
        <v>Common Work Results for Plumbing</v>
      </c>
      <c r="E446" s="21" t="str">
        <v>00.10</v>
      </c>
      <c r="F446" s="34" t="str">
        <v>مواد ميكانيكا</v>
      </c>
      <c r="G446" s="21" t="str">
        <v>Plumbing Materials</v>
      </c>
      <c r="H446" s="21" t="str">
        <v>31</v>
      </c>
      <c r="I446" s="21" t="str">
        <v>22 05 00.1031</v>
      </c>
      <c r="J446" s="21" t="str">
        <v>كوع فاتح بى فى سى 4 بوصه جدول 40</v>
      </c>
      <c r="K446" s="21" t="str">
        <v>PVC Cleanout Elbow 4 inch Schedule 40</v>
      </c>
      <c r="L446" s="21">
        <v>0</v>
      </c>
    </row>
    <row r="447" spans="1:12" x14ac:dyDescent="0.25">
      <c r="A447" s="30" t="str">
        <v>22</v>
      </c>
      <c r="B447" s="21" t="str">
        <v>Plumbing</v>
      </c>
      <c r="C447" s="21" t="str">
        <v>05</v>
      </c>
      <c r="D447" s="21" t="str">
        <v>Common Work Results for Plumbing</v>
      </c>
      <c r="E447" s="21" t="str">
        <v>00.10</v>
      </c>
      <c r="F447" s="34" t="str">
        <v>مواد ميكانيكا</v>
      </c>
      <c r="G447" s="21" t="str">
        <v>Plumbing Materials</v>
      </c>
      <c r="H447" s="21" t="str">
        <v>32</v>
      </c>
      <c r="I447" s="21" t="str">
        <v>22 05 00.1032</v>
      </c>
      <c r="J447" s="21" t="str">
        <v>كوع فاتح 3" SCH 40</v>
      </c>
      <c r="K447" s="21" t="str">
        <v>Cleanout Elbow 3 inch Schedule 40</v>
      </c>
      <c r="L447" s="21">
        <v>0</v>
      </c>
    </row>
    <row r="448" spans="1:12" x14ac:dyDescent="0.25">
      <c r="A448" s="30" t="str">
        <v>22</v>
      </c>
      <c r="B448" s="21" t="str">
        <v>Plumbing</v>
      </c>
      <c r="C448" s="21" t="str">
        <v>05</v>
      </c>
      <c r="D448" s="21" t="str">
        <v>Common Work Results for Plumbing</v>
      </c>
      <c r="E448" s="21" t="str">
        <v>00.10</v>
      </c>
      <c r="F448" s="34" t="str">
        <v>مواد ميكانيكا</v>
      </c>
      <c r="G448" s="21" t="str">
        <v>Plumbing Materials</v>
      </c>
      <c r="H448" s="21" t="str">
        <v>33</v>
      </c>
      <c r="I448" s="21" t="str">
        <v>22 05 00.1033</v>
      </c>
      <c r="J448" s="21" t="str">
        <v>ماسوره بى فى سى 2 بوصه جدول 40</v>
      </c>
      <c r="K448" s="21" t="str">
        <v>PVC Pipe 2 inch Schedule 40</v>
      </c>
      <c r="L448" s="21">
        <v>0</v>
      </c>
    </row>
    <row r="449" spans="1:12" ht="30" x14ac:dyDescent="0.25">
      <c r="A449" s="30" t="str">
        <v>22</v>
      </c>
      <c r="B449" s="21" t="str">
        <v>Plumbing</v>
      </c>
      <c r="C449" s="21" t="str">
        <v>05</v>
      </c>
      <c r="D449" s="21" t="str">
        <v>Common Work Results for Plumbing</v>
      </c>
      <c r="E449" s="21" t="str">
        <v>00.10</v>
      </c>
      <c r="F449" s="34" t="str">
        <v>مواد ميكانيكا</v>
      </c>
      <c r="G449" s="21" t="str">
        <v>Plumbing Materials</v>
      </c>
      <c r="H449" s="21" t="str">
        <v>34</v>
      </c>
      <c r="I449" s="21" t="str">
        <v>22 05 00.1034</v>
      </c>
      <c r="J449" s="21" t="str">
        <v>مشترك تى نقاص 4*2 بوصه بى فى سى جدول 40</v>
      </c>
      <c r="K449" s="21" t="str">
        <v>PVC Reducing Tee 4x2 inch Schedule 40</v>
      </c>
      <c r="L449" s="21">
        <v>0</v>
      </c>
    </row>
    <row r="450" spans="1:12" x14ac:dyDescent="0.25">
      <c r="A450" s="30" t="str">
        <v>22</v>
      </c>
      <c r="B450" s="21" t="str">
        <v>Plumbing</v>
      </c>
      <c r="C450" s="21" t="str">
        <v>05</v>
      </c>
      <c r="D450" s="21" t="str">
        <v>Common Work Results for Plumbing</v>
      </c>
      <c r="E450" s="21" t="str">
        <v>00.10</v>
      </c>
      <c r="F450" s="34" t="str">
        <v>مواد ميكانيكا</v>
      </c>
      <c r="G450" s="21" t="str">
        <v>Plumbing Materials</v>
      </c>
      <c r="H450" s="21" t="str">
        <v>36</v>
      </c>
      <c r="I450" s="21" t="str">
        <v>22 05 00.1036</v>
      </c>
      <c r="J450" s="21" t="str">
        <v>جلبه بى فى سى 2" SCH 40</v>
      </c>
      <c r="K450" s="21" t="str">
        <v>PVC Coupling 2 inch Schedule 40</v>
      </c>
      <c r="L450" s="21">
        <v>0</v>
      </c>
    </row>
    <row r="451" spans="1:12" x14ac:dyDescent="0.25">
      <c r="A451" s="30" t="str">
        <v>22</v>
      </c>
      <c r="B451" s="21" t="str">
        <v>Plumbing</v>
      </c>
      <c r="C451" s="21" t="str">
        <v>05</v>
      </c>
      <c r="D451" s="21" t="str">
        <v>Common Work Results for Plumbing</v>
      </c>
      <c r="E451" s="21" t="str">
        <v>00.10</v>
      </c>
      <c r="F451" s="34" t="str">
        <v>مواد ميكانيكا</v>
      </c>
      <c r="G451" s="21" t="str">
        <v>Plumbing Materials</v>
      </c>
      <c r="H451" s="21" t="str">
        <v>37</v>
      </c>
      <c r="I451" s="21" t="str">
        <v>22 05 00.1037</v>
      </c>
      <c r="J451" s="21" t="str">
        <v>جلبه بى فى سى 3" SCH 40</v>
      </c>
      <c r="K451" s="21" t="str">
        <v>PVC Coupling 3 inch Schedule 40</v>
      </c>
      <c r="L451" s="21">
        <v>0</v>
      </c>
    </row>
    <row r="452" spans="1:12" x14ac:dyDescent="0.25">
      <c r="A452" s="30" t="str">
        <v>22</v>
      </c>
      <c r="B452" s="21" t="str">
        <v>Plumbing</v>
      </c>
      <c r="C452" s="21" t="str">
        <v>05</v>
      </c>
      <c r="D452" s="21" t="str">
        <v>Common Work Results for Plumbing</v>
      </c>
      <c r="E452" s="21" t="str">
        <v>00.10</v>
      </c>
      <c r="F452" s="34" t="str">
        <v>مواد ميكانيكا</v>
      </c>
      <c r="G452" s="21" t="str">
        <v>Plumbing Materials</v>
      </c>
      <c r="H452" s="21" t="str">
        <v>38</v>
      </c>
      <c r="I452" s="21" t="str">
        <v>22 05 00.1038</v>
      </c>
      <c r="J452" s="21" t="str">
        <v>مشترك لحام 25</v>
      </c>
      <c r="K452" s="21" t="str">
        <v>3 SIDED Welding Coupling 25 mm</v>
      </c>
      <c r="L452" s="21">
        <v>0</v>
      </c>
    </row>
    <row r="453" spans="1:12" x14ac:dyDescent="0.25">
      <c r="A453" s="30" t="str">
        <v>22</v>
      </c>
      <c r="B453" s="21" t="str">
        <v>Plumbing</v>
      </c>
      <c r="C453" s="21" t="str">
        <v>05</v>
      </c>
      <c r="D453" s="21" t="str">
        <v>Common Work Results for Plumbing</v>
      </c>
      <c r="E453" s="21" t="str">
        <v>00.10</v>
      </c>
      <c r="F453" s="34" t="str">
        <v>مواد ميكانيكا</v>
      </c>
      <c r="G453" s="21" t="str">
        <v>Plumbing Materials</v>
      </c>
      <c r="H453" s="21" t="str">
        <v>39</v>
      </c>
      <c r="I453" s="21" t="str">
        <v>22 05 00.1039</v>
      </c>
      <c r="J453" s="21" t="str">
        <v>ماسوره بى فى سى 1 بوصه جدول 4</v>
      </c>
      <c r="K453" s="21" t="str">
        <v>PVC Pipe 1 inch Schedule 4</v>
      </c>
      <c r="L453" s="21">
        <v>0</v>
      </c>
    </row>
    <row r="454" spans="1:12" x14ac:dyDescent="0.25">
      <c r="A454" s="30" t="str">
        <v>22</v>
      </c>
      <c r="B454" s="21" t="str">
        <v>Plumbing</v>
      </c>
      <c r="C454" s="21" t="str">
        <v>05</v>
      </c>
      <c r="D454" s="21" t="str">
        <v>Common Work Results for Plumbing</v>
      </c>
      <c r="E454" s="21" t="str">
        <v>00.10</v>
      </c>
      <c r="F454" s="34" t="str">
        <v>مواد ميكانيكا</v>
      </c>
      <c r="G454" s="21" t="str">
        <v>Plumbing Materials</v>
      </c>
      <c r="H454" s="21" t="str">
        <v>40</v>
      </c>
      <c r="I454" s="21" t="str">
        <v>22 05 00.1040</v>
      </c>
      <c r="J454" s="21" t="str">
        <v>كرنك لحام 25</v>
      </c>
      <c r="K454" s="21" t="str">
        <v>Welding Crank 25 mm</v>
      </c>
      <c r="L454" s="21">
        <v>0</v>
      </c>
    </row>
    <row r="455" spans="1:12" x14ac:dyDescent="0.25">
      <c r="A455" s="30" t="str">
        <v>22</v>
      </c>
      <c r="B455" s="21" t="str">
        <v>Plumbing</v>
      </c>
      <c r="C455" s="21" t="str">
        <v>05</v>
      </c>
      <c r="D455" s="21" t="str">
        <v>Common Work Results for Plumbing</v>
      </c>
      <c r="E455" s="21" t="str">
        <v>00.10</v>
      </c>
      <c r="F455" s="34" t="str">
        <v>مواد ميكانيكا</v>
      </c>
      <c r="G455" s="21" t="str">
        <v>Plumbing Materials</v>
      </c>
      <c r="H455" s="21" t="str">
        <v>41</v>
      </c>
      <c r="I455" s="21" t="str">
        <v>22 05 00.1041</v>
      </c>
      <c r="J455" s="21" t="str">
        <v>ماسوره PPR اخضر</v>
      </c>
      <c r="K455" s="21" t="str">
        <v>PPR Pipe Green</v>
      </c>
      <c r="L455" s="21">
        <v>0</v>
      </c>
    </row>
    <row r="456" spans="1:12" x14ac:dyDescent="0.25">
      <c r="A456" s="30" t="str">
        <v>22</v>
      </c>
      <c r="B456" s="21" t="str">
        <v>Plumbing</v>
      </c>
      <c r="C456" s="21" t="str">
        <v>05</v>
      </c>
      <c r="D456" s="21" t="str">
        <v>Common Work Results for Plumbing</v>
      </c>
      <c r="E456" s="21" t="str">
        <v>00.10</v>
      </c>
      <c r="F456" s="34" t="str">
        <v>مواد ميكانيكا</v>
      </c>
      <c r="G456" s="21" t="str">
        <v>Plumbing Materials</v>
      </c>
      <c r="H456" s="21" t="str">
        <v>42</v>
      </c>
      <c r="I456" s="21" t="str">
        <v>22 05 00.1042</v>
      </c>
      <c r="J456" s="21" t="str">
        <v>قفيز لطش 50</v>
      </c>
      <c r="K456" s="21" t="str">
        <v>Expansion Joint 50 mm</v>
      </c>
      <c r="L456" s="21">
        <v>0</v>
      </c>
    </row>
    <row r="457" spans="1:12" x14ac:dyDescent="0.25">
      <c r="A457" s="30" t="str">
        <v>22</v>
      </c>
      <c r="B457" s="21" t="str">
        <v>Plumbing</v>
      </c>
      <c r="C457" s="21" t="str">
        <v>05</v>
      </c>
      <c r="D457" s="21" t="str">
        <v>Common Work Results for Plumbing</v>
      </c>
      <c r="E457" s="21" t="str">
        <v>00.10</v>
      </c>
      <c r="F457" s="34" t="str">
        <v>مواد ميكانيكا</v>
      </c>
      <c r="G457" s="21" t="str">
        <v>Plumbing Materials</v>
      </c>
      <c r="H457" s="21" t="str">
        <v>43</v>
      </c>
      <c r="I457" s="21" t="str">
        <v>22 05 00.1043</v>
      </c>
      <c r="J457" s="21" t="str">
        <v>قفيز ربر 32م</v>
      </c>
      <c r="K457" s="21" t="str">
        <v>Rubber Gasket 32 mm</v>
      </c>
      <c r="L457" s="21">
        <v>0</v>
      </c>
    </row>
    <row r="458" spans="1:12" x14ac:dyDescent="0.25">
      <c r="A458" s="30" t="str">
        <v>22</v>
      </c>
      <c r="B458" s="21" t="str">
        <v>Plumbing</v>
      </c>
      <c r="C458" s="21" t="str">
        <v>05</v>
      </c>
      <c r="D458" s="21" t="str">
        <v>Common Work Results for Plumbing</v>
      </c>
      <c r="E458" s="21" t="str">
        <v>00.10</v>
      </c>
      <c r="F458" s="34" t="str">
        <v>مواد ميكانيكا</v>
      </c>
      <c r="G458" s="21" t="str">
        <v>Plumbing Materials</v>
      </c>
      <c r="H458" s="21" t="str">
        <v>44</v>
      </c>
      <c r="I458" s="21" t="str">
        <v>22 05 00.1044</v>
      </c>
      <c r="J458" s="21" t="str">
        <v>قفيز ربر 25</v>
      </c>
      <c r="K458" s="21" t="str">
        <v>Rubber Gasket 25 mm</v>
      </c>
      <c r="L458" s="21">
        <v>0</v>
      </c>
    </row>
    <row r="459" spans="1:12" ht="30" x14ac:dyDescent="0.25">
      <c r="A459" s="30" t="str">
        <v>22</v>
      </c>
      <c r="B459" s="21" t="str">
        <v>Plumbing</v>
      </c>
      <c r="C459" s="21" t="str">
        <v>05</v>
      </c>
      <c r="D459" s="21" t="str">
        <v>Common Work Results for Plumbing</v>
      </c>
      <c r="E459" s="21" t="str">
        <v>00.10</v>
      </c>
      <c r="F459" s="34" t="str">
        <v>مواد ميكانيكا</v>
      </c>
      <c r="G459" s="21" t="str">
        <v>Plumbing Materials</v>
      </c>
      <c r="H459" s="21" t="str">
        <v>45</v>
      </c>
      <c r="I459" s="21" t="str">
        <v>22 05 00.1045</v>
      </c>
      <c r="J459" s="21" t="str">
        <v>كوع مسلوب 90 بسن داخلى 25/20</v>
      </c>
      <c r="K459" s="21" t="str">
        <v>Reducing Elbow 90 with Internal Thread 25/20 mm</v>
      </c>
      <c r="L459" s="21">
        <v>0</v>
      </c>
    </row>
    <row r="460" spans="1:12" x14ac:dyDescent="0.25">
      <c r="A460" s="30" t="str">
        <v>22</v>
      </c>
      <c r="B460" s="21" t="str">
        <v>Plumbing</v>
      </c>
      <c r="C460" s="21" t="str">
        <v>05</v>
      </c>
      <c r="D460" s="21" t="str">
        <v>Common Work Results for Plumbing</v>
      </c>
      <c r="E460" s="21" t="str">
        <v>00.10</v>
      </c>
      <c r="F460" s="34" t="str">
        <v>مواد ميكانيكا</v>
      </c>
      <c r="G460" s="21" t="str">
        <v>Plumbing Materials</v>
      </c>
      <c r="H460" s="21" t="str">
        <v>46</v>
      </c>
      <c r="I460" s="21" t="str">
        <v>22 05 00.1046</v>
      </c>
      <c r="J460" s="21" t="str">
        <v>مشترك سن داخلى 25/20</v>
      </c>
      <c r="K460" s="21" t="str">
        <v>Internal Thread Coupling 25/20 mm</v>
      </c>
      <c r="L460" s="21">
        <v>0</v>
      </c>
    </row>
    <row r="461" spans="1:12" x14ac:dyDescent="0.25">
      <c r="A461" s="30" t="str">
        <v>22</v>
      </c>
      <c r="B461" s="21" t="str">
        <v>Plumbing</v>
      </c>
      <c r="C461" s="21" t="str">
        <v>05</v>
      </c>
      <c r="D461" s="21" t="str">
        <v>Common Work Results for Plumbing</v>
      </c>
      <c r="E461" s="21" t="str">
        <v>00.10</v>
      </c>
      <c r="F461" s="34" t="str">
        <v>مواد ميكانيكا</v>
      </c>
      <c r="G461" s="21" t="str">
        <v>Plumbing Materials</v>
      </c>
      <c r="H461" s="21" t="str">
        <v>47</v>
      </c>
      <c r="I461" s="21" t="str">
        <v>22 05 00.1047</v>
      </c>
      <c r="J461" s="21" t="str">
        <v>مشترك 32</v>
      </c>
      <c r="K461" s="21" t="str">
        <v>Coupling 32 mm</v>
      </c>
      <c r="L461" s="21">
        <v>0</v>
      </c>
    </row>
    <row r="462" spans="1:12" x14ac:dyDescent="0.25">
      <c r="A462" s="30" t="str">
        <v>22</v>
      </c>
      <c r="B462" s="21" t="str">
        <v>Plumbing</v>
      </c>
      <c r="C462" s="21" t="str">
        <v>05</v>
      </c>
      <c r="D462" s="21" t="str">
        <v>Common Work Results for Plumbing</v>
      </c>
      <c r="E462" s="21" t="str">
        <v>00.10</v>
      </c>
      <c r="F462" s="34" t="str">
        <v>مواد ميكانيكا</v>
      </c>
      <c r="G462" s="21" t="str">
        <v>Plumbing Materials</v>
      </c>
      <c r="H462" s="21" t="str">
        <v>48</v>
      </c>
      <c r="I462" s="21" t="str">
        <v>22 05 00.1048</v>
      </c>
      <c r="J462" s="21" t="str">
        <v>محبس دفن 25</v>
      </c>
      <c r="K462" s="21" t="str">
        <v>Buried Valve 25 mm</v>
      </c>
      <c r="L462" s="21">
        <v>0</v>
      </c>
    </row>
    <row r="463" spans="1:12" x14ac:dyDescent="0.25">
      <c r="A463" s="30" t="str">
        <v>22</v>
      </c>
      <c r="B463" s="21" t="str">
        <v>Plumbing</v>
      </c>
      <c r="C463" s="21" t="str">
        <v>05</v>
      </c>
      <c r="D463" s="21" t="str">
        <v>Common Work Results for Plumbing</v>
      </c>
      <c r="E463" s="21" t="str">
        <v>00.10</v>
      </c>
      <c r="F463" s="34" t="str">
        <v>مواد ميكانيكا</v>
      </c>
      <c r="G463" s="21" t="str">
        <v>Plumbing Materials</v>
      </c>
      <c r="H463" s="21" t="str">
        <v>49</v>
      </c>
      <c r="I463" s="21" t="str">
        <v>22 05 00.1049</v>
      </c>
      <c r="J463" s="21" t="str">
        <v>طبه اختبار 20مم</v>
      </c>
      <c r="K463" s="21" t="str">
        <v>Test Cap 20 mm</v>
      </c>
      <c r="L463" s="21">
        <v>0</v>
      </c>
    </row>
    <row r="464" spans="1:12" x14ac:dyDescent="0.25">
      <c r="A464" s="30" t="str">
        <v>22</v>
      </c>
      <c r="B464" s="21" t="str">
        <v>Plumbing</v>
      </c>
      <c r="C464" s="21" t="str">
        <v>05</v>
      </c>
      <c r="D464" s="21" t="str">
        <v>Common Work Results for Plumbing</v>
      </c>
      <c r="E464" s="21" t="str">
        <v>00.10</v>
      </c>
      <c r="F464" s="34" t="str">
        <v>مواد ميكانيكا</v>
      </c>
      <c r="G464" s="21" t="str">
        <v>Plumbing Materials</v>
      </c>
      <c r="H464" s="21" t="str">
        <v>50</v>
      </c>
      <c r="I464" s="21" t="str">
        <v>22 05 00.1050</v>
      </c>
      <c r="J464" s="21" t="str">
        <v>جلبه 25 لحام</v>
      </c>
      <c r="K464" s="21" t="str">
        <v>2 SIDED Welding Coupling 25 mm</v>
      </c>
      <c r="L464" s="21">
        <v>0</v>
      </c>
    </row>
    <row r="465" spans="1:12" x14ac:dyDescent="0.25">
      <c r="A465" s="30" t="str">
        <v>22</v>
      </c>
      <c r="B465" s="21" t="str">
        <v>Plumbing</v>
      </c>
      <c r="C465" s="21" t="str">
        <v>05</v>
      </c>
      <c r="D465" s="21" t="str">
        <v>Common Work Results for Plumbing</v>
      </c>
      <c r="E465" s="21" t="str">
        <v>00.10</v>
      </c>
      <c r="F465" s="34" t="str">
        <v>مواد ميكانيكا</v>
      </c>
      <c r="G465" s="21" t="str">
        <v>Plumbing Materials</v>
      </c>
      <c r="H465" s="21" t="str">
        <v>51</v>
      </c>
      <c r="I465" s="21" t="str">
        <v>22 05 00.1051</v>
      </c>
      <c r="J465" s="21" t="str">
        <v>ماسوره بى فى سى 6" SCH 20</v>
      </c>
      <c r="K465" s="21" t="str">
        <v>PVC Pipe 6 inch Schedule 20</v>
      </c>
      <c r="L465" s="21">
        <v>0</v>
      </c>
    </row>
    <row r="466" spans="1:12" x14ac:dyDescent="0.25">
      <c r="A466" s="30" t="str">
        <v>22</v>
      </c>
      <c r="B466" s="21" t="str">
        <v>Plumbing</v>
      </c>
      <c r="C466" s="21" t="str">
        <v>05</v>
      </c>
      <c r="D466" s="21" t="str">
        <v>Common Work Results for Plumbing</v>
      </c>
      <c r="E466" s="21" t="str">
        <v>00.10</v>
      </c>
      <c r="F466" s="34" t="str">
        <v>مواد ميكانيكا</v>
      </c>
      <c r="G466" s="21" t="str">
        <v>Plumbing Materials</v>
      </c>
      <c r="H466" s="21" t="str">
        <v>52</v>
      </c>
      <c r="I466" s="21" t="str">
        <v>22 05 00.1052</v>
      </c>
      <c r="J466" s="21" t="str">
        <v>ماسوره 6" HDPE</v>
      </c>
      <c r="K466" s="21" t="str">
        <v>HDPE Pipe 6 inch</v>
      </c>
      <c r="L466" s="21">
        <v>0</v>
      </c>
    </row>
    <row r="467" spans="1:12" x14ac:dyDescent="0.25">
      <c r="A467" s="30" t="str">
        <v>22</v>
      </c>
      <c r="B467" s="21" t="str">
        <v>Plumbing</v>
      </c>
      <c r="C467" s="21" t="str">
        <v>05</v>
      </c>
      <c r="D467" s="21" t="str">
        <v>Common Work Results for Plumbing</v>
      </c>
      <c r="E467" s="21" t="str">
        <v>00.10</v>
      </c>
      <c r="F467" s="34" t="str">
        <v>مواد ميكانيكا</v>
      </c>
      <c r="G467" s="21" t="str">
        <v>Plumbing Materials</v>
      </c>
      <c r="H467" s="21" t="str">
        <v>53</v>
      </c>
      <c r="I467" s="21" t="str">
        <v>22 05 00.1053</v>
      </c>
      <c r="J467" s="21" t="str">
        <v>فلانشه 6" HDPE</v>
      </c>
      <c r="K467" s="21" t="str">
        <v>HDPE Flange 6 inch</v>
      </c>
      <c r="L467" s="21">
        <v>0</v>
      </c>
    </row>
    <row r="468" spans="1:12" x14ac:dyDescent="0.25">
      <c r="A468" s="30" t="str">
        <v>22</v>
      </c>
      <c r="B468" s="21" t="str">
        <v>Plumbing</v>
      </c>
      <c r="C468" s="21" t="str">
        <v>05</v>
      </c>
      <c r="D468" s="21" t="str">
        <v>Common Work Results for Plumbing</v>
      </c>
      <c r="E468" s="21" t="str">
        <v>00.10</v>
      </c>
      <c r="F468" s="34" t="str">
        <v>مواد ميكانيكا</v>
      </c>
      <c r="G468" s="21" t="str">
        <v>Plumbing Materials</v>
      </c>
      <c r="H468" s="21" t="str">
        <v>54</v>
      </c>
      <c r="I468" s="21" t="str">
        <v>22 05 00.1054</v>
      </c>
      <c r="J468" s="21" t="str">
        <v>فلانشه ادبتور 6" HDPE</v>
      </c>
      <c r="K468" s="21" t="str">
        <v>HDPE Adapter Flange 6 inch</v>
      </c>
      <c r="L468" s="21">
        <v>0</v>
      </c>
    </row>
    <row r="469" spans="1:12" x14ac:dyDescent="0.25">
      <c r="A469" s="30" t="str">
        <v>22</v>
      </c>
      <c r="B469" s="21" t="str">
        <v>Plumbing</v>
      </c>
      <c r="C469" s="21" t="str">
        <v>05</v>
      </c>
      <c r="D469" s="21" t="str">
        <v>Common Work Results for Plumbing</v>
      </c>
      <c r="E469" s="21" t="str">
        <v>00.10</v>
      </c>
      <c r="F469" s="34" t="str">
        <v>مواد ميكانيكا</v>
      </c>
      <c r="G469" s="21" t="str">
        <v>Plumbing Materials</v>
      </c>
      <c r="H469" s="21" t="str">
        <v>55</v>
      </c>
      <c r="I469" s="21" t="str">
        <v>22 05 00.1055</v>
      </c>
      <c r="J469" s="21" t="str">
        <v>طبه فلانشه حديد</v>
      </c>
      <c r="K469" s="21" t="str">
        <v>Iron Flange Cap</v>
      </c>
      <c r="L469" s="21">
        <v>0</v>
      </c>
    </row>
    <row r="470" spans="1:12" x14ac:dyDescent="0.25">
      <c r="A470" s="30" t="str">
        <v>22</v>
      </c>
      <c r="B470" s="21" t="str">
        <v>Plumbing</v>
      </c>
      <c r="C470" s="21" t="str">
        <v>05</v>
      </c>
      <c r="D470" s="21" t="str">
        <v>Common Work Results for Plumbing</v>
      </c>
      <c r="E470" s="21" t="str">
        <v>00.10</v>
      </c>
      <c r="F470" s="34" t="str">
        <v>مواد ميكانيكا</v>
      </c>
      <c r="G470" s="21" t="str">
        <v>Plumbing Materials</v>
      </c>
      <c r="H470" s="21" t="str">
        <v>56</v>
      </c>
      <c r="I470" s="21" t="str">
        <v>22 05 00.1056</v>
      </c>
      <c r="J470" s="21" t="str">
        <v>سده 6" HDPE</v>
      </c>
      <c r="K470" s="21" t="str">
        <v>HDPE Cap 6 inch</v>
      </c>
      <c r="L470" s="21">
        <v>0</v>
      </c>
    </row>
    <row r="471" spans="1:12" x14ac:dyDescent="0.25">
      <c r="A471" s="30" t="str">
        <v>22</v>
      </c>
      <c r="B471" s="21" t="str">
        <v>Plumbing</v>
      </c>
      <c r="C471" s="21" t="str">
        <v>05</v>
      </c>
      <c r="D471" s="21" t="str">
        <v>Common Work Results for Plumbing</v>
      </c>
      <c r="E471" s="21" t="str">
        <v>00.10</v>
      </c>
      <c r="F471" s="34" t="str">
        <v>مواد ميكانيكا</v>
      </c>
      <c r="G471" s="21" t="str">
        <v>Plumbing Materials</v>
      </c>
      <c r="H471" s="21" t="str">
        <v>57</v>
      </c>
      <c r="I471" s="21" t="str">
        <v>22 05 00.1057</v>
      </c>
      <c r="J471" s="21" t="str">
        <v>محبس نحاس 1"</v>
      </c>
      <c r="K471" s="21" t="str">
        <v>Copper Valve 1 inch</v>
      </c>
      <c r="L471" s="21">
        <v>0</v>
      </c>
    </row>
    <row r="472" spans="1:12" x14ac:dyDescent="0.25">
      <c r="A472" s="30" t="str">
        <v>22</v>
      </c>
      <c r="B472" s="21" t="str">
        <v>Plumbing</v>
      </c>
      <c r="C472" s="21" t="str">
        <v>05</v>
      </c>
      <c r="D472" s="21" t="str">
        <v>Common Work Results for Plumbing</v>
      </c>
      <c r="E472" s="21" t="str">
        <v>00.10</v>
      </c>
      <c r="F472" s="34" t="str">
        <v>مواد ميكانيكا</v>
      </c>
      <c r="G472" s="21" t="str">
        <v>Plumbing Materials</v>
      </c>
      <c r="H472" s="21" t="str">
        <v>58</v>
      </c>
      <c r="I472" s="21" t="str">
        <v>22 05 00.1058</v>
      </c>
      <c r="J472" s="21" t="str">
        <v>كوع 6" HDPE</v>
      </c>
      <c r="K472" s="21" t="str">
        <v>HDPE Elbow 6 inch</v>
      </c>
      <c r="L472" s="21">
        <v>0</v>
      </c>
    </row>
    <row r="473" spans="1:12" x14ac:dyDescent="0.25">
      <c r="A473" s="30" t="str">
        <v>22</v>
      </c>
      <c r="B473" s="21" t="str">
        <v>Plumbing</v>
      </c>
      <c r="C473" s="21" t="str">
        <v>05</v>
      </c>
      <c r="D473" s="21" t="str">
        <v>Common Work Results for Plumbing</v>
      </c>
      <c r="E473" s="21" t="str">
        <v>00.10</v>
      </c>
      <c r="F473" s="34" t="str">
        <v>مواد ميكانيكا</v>
      </c>
      <c r="G473" s="21" t="str">
        <v>Plumbing Materials</v>
      </c>
      <c r="H473" s="21" t="str">
        <v>59</v>
      </c>
      <c r="I473" s="21" t="str">
        <v>22 05 00.1059</v>
      </c>
      <c r="J473" s="21" t="str">
        <v>مشترك 6" HDPE</v>
      </c>
      <c r="K473" s="21" t="str">
        <v>HDPE Coupling 6 inch</v>
      </c>
      <c r="L473" s="21">
        <v>0</v>
      </c>
    </row>
    <row r="474" spans="1:12" x14ac:dyDescent="0.25">
      <c r="A474" s="30" t="str">
        <v>22</v>
      </c>
      <c r="B474" s="21" t="str">
        <v>Plumbing</v>
      </c>
      <c r="C474" s="21" t="str">
        <v>05</v>
      </c>
      <c r="D474" s="21" t="str">
        <v>Common Work Results for Plumbing</v>
      </c>
      <c r="E474" s="21" t="str">
        <v>00.10</v>
      </c>
      <c r="F474" s="34" t="str">
        <v>مواد ميكانيكا</v>
      </c>
      <c r="G474" s="21" t="str">
        <v>Plumbing Materials</v>
      </c>
      <c r="H474" s="21" t="str">
        <v>60</v>
      </c>
      <c r="I474" s="21" t="str">
        <v>22 05 00.1060</v>
      </c>
      <c r="J474" s="21" t="str">
        <v>مسمار 16</v>
      </c>
      <c r="K474" s="21" t="str">
        <v>Screw/Bolt 16 mm</v>
      </c>
      <c r="L474" s="21">
        <v>0</v>
      </c>
    </row>
    <row r="475" spans="1:12" x14ac:dyDescent="0.25">
      <c r="A475" s="30" t="str">
        <v>22</v>
      </c>
      <c r="B475" s="21" t="str">
        <v>Plumbing</v>
      </c>
      <c r="C475" s="21" t="str">
        <v>05</v>
      </c>
      <c r="D475" s="21" t="str">
        <v>Common Work Results for Plumbing</v>
      </c>
      <c r="E475" s="21" t="str">
        <v>00.10</v>
      </c>
      <c r="F475" s="34" t="str">
        <v>مواد ميكانيكا</v>
      </c>
      <c r="G475" s="21" t="str">
        <v>Plumbing Materials</v>
      </c>
      <c r="H475" s="21" t="str">
        <v>61</v>
      </c>
      <c r="I475" s="21" t="str">
        <v>22 05 00.1061</v>
      </c>
      <c r="J475" s="21" t="str">
        <v>جوان فلانشه 6"</v>
      </c>
      <c r="K475" s="21" t="str">
        <v>Flange Gasket 6 inch</v>
      </c>
      <c r="L475" s="21">
        <v>0</v>
      </c>
    </row>
    <row r="476" spans="1:12" x14ac:dyDescent="0.25">
      <c r="A476" s="30" t="str">
        <v>22</v>
      </c>
      <c r="B476" s="21" t="str">
        <v>Plumbing</v>
      </c>
      <c r="C476" s="21" t="str">
        <v>05</v>
      </c>
      <c r="D476" s="21" t="str">
        <v>Common Work Results for Plumbing</v>
      </c>
      <c r="E476" s="21" t="str">
        <v>00.10</v>
      </c>
      <c r="F476" s="34" t="str">
        <v>مواد ميكانيكا</v>
      </c>
      <c r="G476" s="21" t="str">
        <v>Plumbing Materials</v>
      </c>
      <c r="H476" s="21" t="str">
        <v>62</v>
      </c>
      <c r="I476" s="21" t="str">
        <v>22 05 00.1062</v>
      </c>
      <c r="J476" s="21" t="str">
        <v>كوع 90 - 25</v>
      </c>
      <c r="K476" s="21" t="str">
        <v>Elbow 90 - 25 mm</v>
      </c>
      <c r="L476" s="21">
        <v>0</v>
      </c>
    </row>
    <row r="477" spans="1:12" x14ac:dyDescent="0.25">
      <c r="A477" s="30" t="str">
        <v>22</v>
      </c>
      <c r="B477" s="21" t="str">
        <v>Plumbing</v>
      </c>
      <c r="C477" s="21" t="str">
        <v>05</v>
      </c>
      <c r="D477" s="21" t="str">
        <v>Common Work Results for Plumbing</v>
      </c>
      <c r="E477" s="21" t="str">
        <v>00.10</v>
      </c>
      <c r="F477" s="34" t="str">
        <v>مواد ميكانيكا</v>
      </c>
      <c r="G477" s="21" t="str">
        <v>Plumbing Materials</v>
      </c>
      <c r="H477" s="21" t="str">
        <v>63</v>
      </c>
      <c r="I477" s="21" t="str">
        <v>22 05 00.1063</v>
      </c>
      <c r="J477" s="21" t="str">
        <v>ميزان خلاط 25</v>
      </c>
      <c r="K477" s="21" t="str">
        <v>Mixing Valve 25 mm</v>
      </c>
      <c r="L477" s="21">
        <v>0</v>
      </c>
    </row>
    <row r="478" spans="1:12" x14ac:dyDescent="0.25">
      <c r="A478" s="30" t="str">
        <v>22</v>
      </c>
      <c r="B478" s="21" t="str">
        <v>Plumbing</v>
      </c>
      <c r="C478" s="21" t="str">
        <v>05</v>
      </c>
      <c r="D478" s="21" t="str">
        <v>Common Work Results for Plumbing</v>
      </c>
      <c r="E478" s="21" t="str">
        <v>00.10</v>
      </c>
      <c r="F478" s="34" t="str">
        <v>مواد ميكانيكا</v>
      </c>
      <c r="G478" s="21" t="str">
        <v>Plumbing Materials</v>
      </c>
      <c r="H478" s="21" t="str">
        <v>64</v>
      </c>
      <c r="I478" s="21" t="str">
        <v>22 05 00.1064</v>
      </c>
      <c r="J478" s="21" t="str">
        <v>اكمون 10 مم</v>
      </c>
      <c r="K478" s="21" t="str">
        <v>Union 10 mm</v>
      </c>
      <c r="L478" s="21">
        <v>0</v>
      </c>
    </row>
    <row r="479" spans="1:12" x14ac:dyDescent="0.25">
      <c r="A479" s="30" t="str">
        <v>22</v>
      </c>
      <c r="B479" s="21" t="str">
        <v>Plumbing</v>
      </c>
      <c r="C479" s="21" t="str">
        <v>05</v>
      </c>
      <c r="D479" s="21" t="str">
        <v>Common Work Results for Plumbing</v>
      </c>
      <c r="E479" s="21" t="str">
        <v>00.10</v>
      </c>
      <c r="F479" s="34" t="str">
        <v>مواد ميكانيكا</v>
      </c>
      <c r="G479" s="21" t="str">
        <v>Plumbing Materials</v>
      </c>
      <c r="H479" s="21" t="str">
        <v>65</v>
      </c>
      <c r="I479" s="21" t="str">
        <v>22 05 00.1065</v>
      </c>
      <c r="J479" s="21" t="str">
        <v>ورده 10 م</v>
      </c>
      <c r="K479" s="21" t="str">
        <v>Washer 10 mm</v>
      </c>
      <c r="L479" s="21">
        <v>0</v>
      </c>
    </row>
    <row r="480" spans="1:12" x14ac:dyDescent="0.25">
      <c r="A480" s="30" t="str">
        <v>22</v>
      </c>
      <c r="B480" s="21" t="str">
        <v>Plumbing</v>
      </c>
      <c r="C480" s="21" t="str">
        <v>05</v>
      </c>
      <c r="D480" s="21" t="str">
        <v>Common Work Results for Plumbing</v>
      </c>
      <c r="E480" s="21" t="str">
        <v>00.10</v>
      </c>
      <c r="F480" s="34" t="str">
        <v>مواد ميكانيكا</v>
      </c>
      <c r="G480" s="21" t="str">
        <v>Plumbing Materials</v>
      </c>
      <c r="H480" s="21" t="str">
        <v>66</v>
      </c>
      <c r="I480" s="21" t="str">
        <v>22 05 00.1066</v>
      </c>
      <c r="J480" s="21" t="str">
        <v>صاموله 10 م</v>
      </c>
      <c r="K480" s="21" t="str">
        <v>Nut 10 mm</v>
      </c>
      <c r="L480" s="21">
        <v>0</v>
      </c>
    </row>
    <row r="481" spans="1:12" x14ac:dyDescent="0.25">
      <c r="A481" s="30" t="str">
        <v>22</v>
      </c>
      <c r="B481" s="21" t="str">
        <v>Plumbing</v>
      </c>
      <c r="C481" s="21" t="str">
        <v>05</v>
      </c>
      <c r="D481" s="21" t="str">
        <v>Common Work Results for Plumbing</v>
      </c>
      <c r="E481" s="21" t="str">
        <v>00.10</v>
      </c>
      <c r="F481" s="34" t="str">
        <v>مواد ميكانيكا</v>
      </c>
      <c r="G481" s="21" t="str">
        <v>Plumbing Materials</v>
      </c>
      <c r="H481" s="21" t="str">
        <v>67</v>
      </c>
      <c r="I481" s="21" t="str">
        <v>22 05 00.1067</v>
      </c>
      <c r="J481" s="21" t="str">
        <v>مسلوب لحام 50*32</v>
      </c>
      <c r="K481" s="21" t="str">
        <v>Welding Reducer 50x32 mm</v>
      </c>
      <c r="L481" s="21">
        <v>0</v>
      </c>
    </row>
    <row r="482" spans="1:12" x14ac:dyDescent="0.25">
      <c r="A482" s="30" t="str">
        <v>22</v>
      </c>
      <c r="B482" s="21" t="str">
        <v>Plumbing</v>
      </c>
      <c r="C482" s="21" t="str">
        <v>05</v>
      </c>
      <c r="D482" s="21" t="str">
        <v>Common Work Results for Plumbing</v>
      </c>
      <c r="E482" s="21" t="str">
        <v>00.10</v>
      </c>
      <c r="F482" s="34" t="str">
        <v>مواد ميكانيكا</v>
      </c>
      <c r="G482" s="21" t="str">
        <v>Plumbing Materials</v>
      </c>
      <c r="H482" s="21" t="str">
        <v>68</v>
      </c>
      <c r="I482" s="21" t="str">
        <v>22 05 00.1068</v>
      </c>
      <c r="J482" s="21" t="str">
        <v>تيش 10مم - 2م</v>
      </c>
      <c r="K482" s="21" t="str">
        <v>T-connection 10 mm - 2 m</v>
      </c>
      <c r="L482" s="21">
        <v>0</v>
      </c>
    </row>
    <row r="483" spans="1:12" x14ac:dyDescent="0.25">
      <c r="A483" s="30" t="str">
        <v>22</v>
      </c>
      <c r="B483" s="21" t="str">
        <v>Plumbing</v>
      </c>
      <c r="C483" s="21" t="str">
        <v>05</v>
      </c>
      <c r="D483" s="21" t="str">
        <v>Common Work Results for Plumbing</v>
      </c>
      <c r="E483" s="21" t="str">
        <v>00.10</v>
      </c>
      <c r="F483" s="34" t="str">
        <v>مواد ميكانيكا</v>
      </c>
      <c r="G483" s="21" t="str">
        <v>Plumbing Materials</v>
      </c>
      <c r="H483" s="21" t="str">
        <v>69</v>
      </c>
      <c r="I483" s="21" t="str">
        <v>22 05 00.1069</v>
      </c>
      <c r="J483" s="21" t="str">
        <v>سده بى فى سى 1 بوصه جدول 40</v>
      </c>
      <c r="K483" s="21" t="str">
        <v>PVC Cap 1 inch Schedule 40</v>
      </c>
      <c r="L483" s="21">
        <v>0</v>
      </c>
    </row>
    <row r="484" spans="1:12" x14ac:dyDescent="0.25">
      <c r="A484" s="30" t="str">
        <v>22</v>
      </c>
      <c r="B484" s="21" t="str">
        <v>Plumbing</v>
      </c>
      <c r="C484" s="21" t="str">
        <v>05</v>
      </c>
      <c r="D484" s="21" t="str">
        <v>Common Work Results for Plumbing</v>
      </c>
      <c r="E484" s="21" t="str">
        <v>00.10</v>
      </c>
      <c r="F484" s="34" t="str">
        <v>مواد ميكانيكا</v>
      </c>
      <c r="G484" s="21" t="str">
        <v>Plumbing Materials</v>
      </c>
      <c r="H484" s="21" t="str">
        <v>70</v>
      </c>
      <c r="I484" s="21" t="str">
        <v>22 05 00.1070</v>
      </c>
      <c r="J484" s="21" t="str">
        <v>قفيز ربر 4 بوصه</v>
      </c>
      <c r="K484" s="21" t="str">
        <v>Rubber Gasket 4 inch</v>
      </c>
      <c r="L484" s="21">
        <v>0</v>
      </c>
    </row>
    <row r="485" spans="1:12" x14ac:dyDescent="0.25">
      <c r="A485" s="30" t="str">
        <v>22</v>
      </c>
      <c r="B485" s="21" t="str">
        <v>Plumbing</v>
      </c>
      <c r="C485" s="21" t="str">
        <v>05</v>
      </c>
      <c r="D485" s="21" t="str">
        <v>Common Work Results for Plumbing</v>
      </c>
      <c r="E485" s="21" t="str">
        <v>00.10</v>
      </c>
      <c r="F485" s="34" t="str">
        <v>مواد ميكانيكا</v>
      </c>
      <c r="G485" s="21" t="str">
        <v>Plumbing Materials</v>
      </c>
      <c r="H485" s="21" t="str">
        <v>71</v>
      </c>
      <c r="I485" s="21" t="str">
        <v>22 05 00.1071</v>
      </c>
      <c r="J485" s="21" t="str">
        <v>ميزان مياه 30سم</v>
      </c>
      <c r="K485" s="21" t="str">
        <v>Water Level 30 cm</v>
      </c>
      <c r="L485" s="21">
        <v>0</v>
      </c>
    </row>
    <row r="486" spans="1:12" x14ac:dyDescent="0.25">
      <c r="A486" s="30" t="str">
        <v>22</v>
      </c>
      <c r="B486" s="21" t="str">
        <v>Plumbing</v>
      </c>
      <c r="C486" s="21" t="str">
        <v>05</v>
      </c>
      <c r="D486" s="21" t="str">
        <v>Common Work Results for Plumbing</v>
      </c>
      <c r="E486" s="21" t="str">
        <v>00.10</v>
      </c>
      <c r="F486" s="34" t="str">
        <v>مواد ميكانيكا</v>
      </c>
      <c r="G486" s="21" t="str">
        <v>Plumbing Materials</v>
      </c>
      <c r="H486" s="21" t="str">
        <v>72</v>
      </c>
      <c r="I486" s="21" t="str">
        <v>22 05 00.1072</v>
      </c>
      <c r="J486" s="21" t="str">
        <v>قفيز ربر 2.5"</v>
      </c>
      <c r="K486" s="21" t="str">
        <v>Rubber Gasket 2.5 inch</v>
      </c>
      <c r="L486" s="21">
        <v>0</v>
      </c>
    </row>
    <row r="487" spans="1:12" x14ac:dyDescent="0.25">
      <c r="A487" s="30" t="str">
        <v>22</v>
      </c>
      <c r="B487" s="21" t="str">
        <v>Plumbing</v>
      </c>
      <c r="C487" s="21" t="str">
        <v>05</v>
      </c>
      <c r="D487" s="21" t="str">
        <v>Common Work Results for Plumbing</v>
      </c>
      <c r="E487" s="21" t="str">
        <v>00.10</v>
      </c>
      <c r="F487" s="34" t="str">
        <v>مواد ميكانيكا</v>
      </c>
      <c r="G487" s="21" t="str">
        <v>Plumbing Materials</v>
      </c>
      <c r="H487" s="21" t="str">
        <v>73</v>
      </c>
      <c r="I487" s="21" t="str">
        <v>22 05 00.1073</v>
      </c>
      <c r="J487" s="21" t="str">
        <v>مشترك واى بى فى سى 4 بوصه جدول 40</v>
      </c>
      <c r="K487" s="21" t="str">
        <v>PVC Wye 4 inch Schedule 40</v>
      </c>
      <c r="L487" s="21">
        <v>0</v>
      </c>
    </row>
    <row r="488" spans="1:12" x14ac:dyDescent="0.25">
      <c r="A488" s="30" t="str">
        <v>22</v>
      </c>
      <c r="B488" s="21" t="str">
        <v>Plumbing</v>
      </c>
      <c r="C488" s="21" t="str">
        <v>05</v>
      </c>
      <c r="D488" s="21" t="str">
        <v>Common Work Results for Plumbing</v>
      </c>
      <c r="E488" s="21" t="str">
        <v>00.10</v>
      </c>
      <c r="F488" s="34" t="str">
        <v>مواد ميكانيكا</v>
      </c>
      <c r="G488" s="21" t="str">
        <v>Plumbing Materials</v>
      </c>
      <c r="H488" s="21" t="str">
        <v>74</v>
      </c>
      <c r="I488" s="21" t="str">
        <v>22 05 00.1074</v>
      </c>
      <c r="J488" s="21" t="str">
        <v>كلين اوت بى فى سى 4 بوصه</v>
      </c>
      <c r="K488" s="21" t="str">
        <v>PVC Cleanout 4 inch</v>
      </c>
      <c r="L488" s="21">
        <v>0</v>
      </c>
    </row>
    <row r="489" spans="1:12" x14ac:dyDescent="0.25">
      <c r="A489" s="30" t="str">
        <v>22</v>
      </c>
      <c r="B489" s="21" t="str">
        <v>Plumbing</v>
      </c>
      <c r="C489" s="21" t="str">
        <v>05</v>
      </c>
      <c r="D489" s="21" t="str">
        <v>Common Work Results for Plumbing</v>
      </c>
      <c r="E489" s="21" t="str">
        <v>00.10</v>
      </c>
      <c r="F489" s="34" t="str">
        <v>مواد ميكانيكا</v>
      </c>
      <c r="G489" s="21" t="str">
        <v>Plumbing Materials</v>
      </c>
      <c r="H489" s="21" t="str">
        <v>75</v>
      </c>
      <c r="I489" s="21" t="str">
        <v>22 05 00.1075</v>
      </c>
      <c r="J489" s="21" t="str">
        <v>قفيز ربر 3"</v>
      </c>
      <c r="K489" s="21" t="str">
        <v>Rubber Gasket 3 inch</v>
      </c>
      <c r="L489" s="21">
        <v>0</v>
      </c>
    </row>
    <row r="490" spans="1:12" x14ac:dyDescent="0.25">
      <c r="A490" s="30" t="str">
        <v>22</v>
      </c>
      <c r="B490" s="21" t="str">
        <v>Plumbing</v>
      </c>
      <c r="C490" s="21" t="str">
        <v>05</v>
      </c>
      <c r="D490" s="21" t="str">
        <v>Common Work Results for Plumbing</v>
      </c>
      <c r="E490" s="21" t="str">
        <v>00.10</v>
      </c>
      <c r="F490" s="34" t="str">
        <v>مواد ميكانيكا</v>
      </c>
      <c r="G490" s="21" t="str">
        <v>Plumbing Materials</v>
      </c>
      <c r="H490" s="21" t="str">
        <v>76</v>
      </c>
      <c r="I490" s="21" t="str">
        <v>22 05 00.1076</v>
      </c>
      <c r="J490" s="21" t="str">
        <v>مشترك واى 2 بوصه جدول 40</v>
      </c>
      <c r="K490" s="21" t="str">
        <v>Wye 2 inch Schedule 40</v>
      </c>
      <c r="L490" s="21">
        <v>0</v>
      </c>
    </row>
    <row r="491" spans="1:12" x14ac:dyDescent="0.25">
      <c r="A491" s="30" t="str">
        <v>22</v>
      </c>
      <c r="B491" s="21" t="str">
        <v>Plumbing</v>
      </c>
      <c r="C491" s="21" t="str">
        <v>05</v>
      </c>
      <c r="D491" s="21" t="str">
        <v>Common Work Results for Plumbing</v>
      </c>
      <c r="E491" s="21" t="str">
        <v>00.10</v>
      </c>
      <c r="F491" s="34" t="str">
        <v>مواد ميكانيكا</v>
      </c>
      <c r="G491" s="21" t="str">
        <v>Plumbing Materials</v>
      </c>
      <c r="H491" s="21" t="str">
        <v>77</v>
      </c>
      <c r="I491" s="21" t="str">
        <v>22 05 00.1077</v>
      </c>
      <c r="J491" s="21" t="str">
        <v>ورده 16 مم</v>
      </c>
      <c r="K491" s="21" t="str">
        <v>Washer 16 mm</v>
      </c>
      <c r="L491" s="21">
        <v>0</v>
      </c>
    </row>
    <row r="492" spans="1:12" x14ac:dyDescent="0.25">
      <c r="A492" s="30" t="str">
        <v>22</v>
      </c>
      <c r="B492" s="21" t="str">
        <v>Plumbing</v>
      </c>
      <c r="C492" s="21" t="str">
        <v>05</v>
      </c>
      <c r="D492" s="21" t="str">
        <v>Common Work Results for Plumbing</v>
      </c>
      <c r="E492" s="21" t="str">
        <v>00.10</v>
      </c>
      <c r="F492" s="34" t="str">
        <v>مواد ميكانيكا</v>
      </c>
      <c r="G492" s="21" t="str">
        <v>Plumbing Materials</v>
      </c>
      <c r="H492" s="21" t="str">
        <v>78</v>
      </c>
      <c r="I492" s="21" t="str">
        <v>22 05 00.1078</v>
      </c>
      <c r="J492" s="21" t="str">
        <v>صاموله 16 مم</v>
      </c>
      <c r="K492" s="21" t="str">
        <v>Nut 16 mm</v>
      </c>
      <c r="L492" s="21">
        <v>0</v>
      </c>
    </row>
    <row r="493" spans="1:12" x14ac:dyDescent="0.25">
      <c r="A493" s="30" t="str">
        <v>22</v>
      </c>
      <c r="B493" s="21" t="str">
        <v>Plumbing</v>
      </c>
      <c r="C493" s="21" t="str">
        <v>05</v>
      </c>
      <c r="D493" s="21" t="str">
        <v>Common Work Results for Plumbing</v>
      </c>
      <c r="E493" s="21" t="str">
        <v>00.10</v>
      </c>
      <c r="F493" s="34" t="str">
        <v>مواد ميكانيكا</v>
      </c>
      <c r="G493" s="21" t="str">
        <v>Plumbing Materials</v>
      </c>
      <c r="H493" s="21" t="str">
        <v>79</v>
      </c>
      <c r="I493" s="21" t="str">
        <v>22 05 00.1079</v>
      </c>
      <c r="J493" s="21" t="str">
        <v>قفيز ربر 75 مم</v>
      </c>
      <c r="K493" s="21" t="str">
        <v>Rubber Gasket 75 mm</v>
      </c>
      <c r="L493" s="21">
        <v>0</v>
      </c>
    </row>
    <row r="494" spans="1:12" x14ac:dyDescent="0.25">
      <c r="A494" s="30" t="str">
        <v>22</v>
      </c>
      <c r="B494" s="21" t="str">
        <v>Plumbing</v>
      </c>
      <c r="C494" s="21" t="str">
        <v>05</v>
      </c>
      <c r="D494" s="21" t="str">
        <v>Common Work Results for Plumbing</v>
      </c>
      <c r="E494" s="21" t="str">
        <v>00.10</v>
      </c>
      <c r="F494" s="34" t="str">
        <v>مواد ميكانيكا</v>
      </c>
      <c r="G494" s="21" t="str">
        <v>Plumbing Materials</v>
      </c>
      <c r="H494" s="21" t="str">
        <v>80</v>
      </c>
      <c r="I494" s="21" t="str">
        <v>22 05 00.1080</v>
      </c>
      <c r="J494" s="21" t="str">
        <v>قفيز ربر 2 بوصه</v>
      </c>
      <c r="K494" s="21" t="str">
        <v>Rubber Gasket 2 inch</v>
      </c>
      <c r="L494" s="21">
        <v>0</v>
      </c>
    </row>
    <row r="495" spans="1:12" x14ac:dyDescent="0.25">
      <c r="A495" s="30" t="str">
        <v>22</v>
      </c>
      <c r="B495" s="21" t="str">
        <v>Plumbing</v>
      </c>
      <c r="C495" s="21" t="str">
        <v>05</v>
      </c>
      <c r="D495" s="21" t="str">
        <v>Common Work Results for Plumbing</v>
      </c>
      <c r="E495" s="21" t="str">
        <v>00.10</v>
      </c>
      <c r="F495" s="34" t="str">
        <v>مواد ميكانيكا</v>
      </c>
      <c r="G495" s="21" t="str">
        <v>Plumbing Materials</v>
      </c>
      <c r="H495" s="21" t="str">
        <v>81</v>
      </c>
      <c r="I495" s="21" t="str">
        <v>22 05 00.1081</v>
      </c>
      <c r="J495" s="21" t="str">
        <v>كوع زاويه بى فى سى 4 بوصه جدول 40</v>
      </c>
      <c r="K495" s="21" t="str">
        <v>PVC Angle Elbow 4 inch Schedule 40</v>
      </c>
      <c r="L495" s="21">
        <v>0</v>
      </c>
    </row>
    <row r="496" spans="1:12" ht="30" x14ac:dyDescent="0.25">
      <c r="A496" s="30" t="str">
        <v>22</v>
      </c>
      <c r="B496" s="21" t="str">
        <v>Plumbing</v>
      </c>
      <c r="C496" s="21" t="str">
        <v>05</v>
      </c>
      <c r="D496" s="21" t="str">
        <v>Common Work Results for Plumbing</v>
      </c>
      <c r="E496" s="21" t="str">
        <v>00.10</v>
      </c>
      <c r="F496" s="34" t="str">
        <v>مواد ميكانيكا</v>
      </c>
      <c r="G496" s="21" t="str">
        <v>Plumbing Materials</v>
      </c>
      <c r="H496" s="21" t="str">
        <v>82</v>
      </c>
      <c r="I496" s="21" t="str">
        <v>22 05 00.1082</v>
      </c>
      <c r="J496" s="21" t="str">
        <v>مجمع صرف 4*2*2 بى فى سى جدول 40</v>
      </c>
      <c r="K496" s="21" t="str">
        <v>PVC Drain Assembly 4x2x2 inch Schedule 40</v>
      </c>
      <c r="L496" s="21">
        <v>0</v>
      </c>
    </row>
    <row r="497" spans="1:12" x14ac:dyDescent="0.25">
      <c r="A497" s="30" t="str">
        <v>22</v>
      </c>
      <c r="B497" s="21" t="str">
        <v>Plumbing</v>
      </c>
      <c r="C497" s="21" t="str">
        <v>05</v>
      </c>
      <c r="D497" s="21" t="str">
        <v>Common Work Results for Plumbing</v>
      </c>
      <c r="E497" s="21" t="str">
        <v>00.10</v>
      </c>
      <c r="F497" s="34" t="str">
        <v>مواد ميكانيكا</v>
      </c>
      <c r="G497" s="21" t="str">
        <v>Plumbing Materials</v>
      </c>
      <c r="H497" s="21" t="str">
        <v>83</v>
      </c>
      <c r="I497" s="21" t="str">
        <v>22 05 00.1083</v>
      </c>
      <c r="J497" s="21" t="str">
        <v>نقاص بى فى سى 2*1 بوصه جدول 40</v>
      </c>
      <c r="K497" s="21" t="str">
        <v>PVC Reducer 2x1 inch Schedule 40</v>
      </c>
      <c r="L497" s="21">
        <v>0</v>
      </c>
    </row>
    <row r="498" spans="1:12" x14ac:dyDescent="0.25">
      <c r="A498" s="30" t="str">
        <v>22</v>
      </c>
      <c r="B498" s="21" t="str">
        <v>Plumbing</v>
      </c>
      <c r="C498" s="21" t="str">
        <v>05</v>
      </c>
      <c r="D498" s="21" t="str">
        <v>Common Work Results for Plumbing</v>
      </c>
      <c r="E498" s="21" t="str">
        <v>00.10</v>
      </c>
      <c r="F498" s="34" t="str">
        <v>مواد ميكانيكا</v>
      </c>
      <c r="G498" s="21" t="str">
        <v>Plumbing Materials</v>
      </c>
      <c r="H498" s="21" t="str">
        <v>84</v>
      </c>
      <c r="I498" s="21" t="str">
        <v>22 05 00.1084</v>
      </c>
      <c r="J498" s="21" t="str">
        <v>مشترك تى 1 بوصه بى فى سى جدول 40</v>
      </c>
      <c r="K498" s="21" t="str">
        <v>PVC Tee 1 inch Schedule 40</v>
      </c>
      <c r="L498" s="21">
        <v>0</v>
      </c>
    </row>
    <row r="499" spans="1:12" x14ac:dyDescent="0.25">
      <c r="A499" s="30" t="str">
        <v>22</v>
      </c>
      <c r="B499" s="21" t="str">
        <v>Plumbing</v>
      </c>
      <c r="C499" s="21" t="str">
        <v>05</v>
      </c>
      <c r="D499" s="21" t="str">
        <v>Common Work Results for Plumbing</v>
      </c>
      <c r="E499" s="21" t="str">
        <v>00.10</v>
      </c>
      <c r="F499" s="34" t="str">
        <v>مواد ميكانيكا</v>
      </c>
      <c r="G499" s="21" t="str">
        <v>Plumbing Materials</v>
      </c>
      <c r="H499" s="21" t="str">
        <v>85</v>
      </c>
      <c r="I499" s="21" t="str">
        <v>22 05 00.1085</v>
      </c>
      <c r="J499" s="21" t="str">
        <v>بزبوز خرطوم</v>
      </c>
      <c r="K499" s="21" t="str">
        <v>Hose Bib</v>
      </c>
      <c r="L499" s="21">
        <v>0</v>
      </c>
    </row>
    <row r="500" spans="1:12" x14ac:dyDescent="0.25">
      <c r="A500" s="30" t="str">
        <v>22</v>
      </c>
      <c r="B500" s="21" t="str">
        <v>Plumbing</v>
      </c>
      <c r="C500" s="21" t="str">
        <v>05</v>
      </c>
      <c r="D500" s="21" t="str">
        <v>Common Work Results for Plumbing</v>
      </c>
      <c r="E500" s="21" t="str">
        <v>00.10</v>
      </c>
      <c r="F500" s="34" t="str">
        <v>مواد ميكانيكا</v>
      </c>
      <c r="G500" s="21" t="str">
        <v>Plumbing Materials</v>
      </c>
      <c r="H500" s="21" t="str">
        <v>86</v>
      </c>
      <c r="I500" s="21" t="str">
        <v>22 05 00.1086</v>
      </c>
      <c r="J500" s="21" t="str">
        <v>كوع زاويه بى فى سى 1 بوصه جدول 40</v>
      </c>
      <c r="K500" s="21" t="str">
        <v>PVC Angle Elbow 1 inch Schedule 40</v>
      </c>
      <c r="L500" s="21">
        <v>0</v>
      </c>
    </row>
    <row r="501" spans="1:12" x14ac:dyDescent="0.25">
      <c r="A501" s="30" t="str">
        <v>22</v>
      </c>
      <c r="B501" s="21" t="str">
        <v>Plumbing</v>
      </c>
      <c r="C501" s="21" t="str">
        <v>05</v>
      </c>
      <c r="D501" s="21" t="str">
        <v>Common Work Results for Plumbing</v>
      </c>
      <c r="E501" s="21" t="str">
        <v>00.10</v>
      </c>
      <c r="F501" s="34" t="str">
        <v>مواد ميكانيكا</v>
      </c>
      <c r="G501" s="21" t="str">
        <v>Plumbing Materials</v>
      </c>
      <c r="H501" s="21" t="str">
        <v>87</v>
      </c>
      <c r="I501" s="21" t="str">
        <v>22 05 00.1087</v>
      </c>
      <c r="J501" s="21" t="str">
        <v>بوكس مكيف 20 * 20</v>
      </c>
      <c r="K501" s="21" t="str">
        <v>AC Unit Junction Box 20x20 cm</v>
      </c>
      <c r="L501" s="21">
        <v>0</v>
      </c>
    </row>
    <row r="502" spans="1:12" x14ac:dyDescent="0.25">
      <c r="A502" s="30" t="str">
        <v>22</v>
      </c>
      <c r="B502" s="21" t="str">
        <v>Plumbing</v>
      </c>
      <c r="C502" s="21" t="str">
        <v>05</v>
      </c>
      <c r="D502" s="21" t="str">
        <v>Common Work Results for Plumbing</v>
      </c>
      <c r="E502" s="21" t="str">
        <v>00.10</v>
      </c>
      <c r="F502" s="34" t="str">
        <v>مواد ميكانيكا</v>
      </c>
      <c r="G502" s="21" t="str">
        <v>Plumbing Materials</v>
      </c>
      <c r="H502" s="21" t="str">
        <v>88</v>
      </c>
      <c r="I502" s="21" t="str">
        <v>22 05 00.1088</v>
      </c>
      <c r="J502" s="21" t="str">
        <v>كوع 50 مم</v>
      </c>
      <c r="K502" s="21" t="str">
        <v>Elbow 50 mm</v>
      </c>
      <c r="L502" s="21">
        <v>0</v>
      </c>
    </row>
    <row r="503" spans="1:12" x14ac:dyDescent="0.25">
      <c r="A503" s="30" t="str">
        <v>22</v>
      </c>
      <c r="B503" s="21" t="str">
        <v>Plumbing</v>
      </c>
      <c r="C503" s="21" t="str">
        <v>05</v>
      </c>
      <c r="D503" s="21" t="str">
        <v>Common Work Results for Plumbing</v>
      </c>
      <c r="E503" s="21" t="str">
        <v>00.10</v>
      </c>
      <c r="F503" s="34" t="str">
        <v>مواد ميكانيكا</v>
      </c>
      <c r="G503" s="21" t="str">
        <v>Plumbing Materials</v>
      </c>
      <c r="H503" s="21" t="str">
        <v>89</v>
      </c>
      <c r="I503" s="21" t="str">
        <v>22 05 00.1089</v>
      </c>
      <c r="J503" s="21" t="str">
        <v>لى سخان 2/1 بوصه</v>
      </c>
      <c r="K503" s="21" t="str">
        <v>Heater Connection 1/2 inch</v>
      </c>
      <c r="L503" s="21">
        <v>0</v>
      </c>
    </row>
    <row r="504" spans="1:12" x14ac:dyDescent="0.25">
      <c r="A504" s="30" t="str">
        <v>22</v>
      </c>
      <c r="B504" s="21" t="str">
        <v>Plumbing</v>
      </c>
      <c r="C504" s="21" t="str">
        <v>05</v>
      </c>
      <c r="D504" s="21" t="str">
        <v>Common Work Results for Plumbing</v>
      </c>
      <c r="E504" s="21" t="str">
        <v>00.10</v>
      </c>
      <c r="F504" s="34" t="str">
        <v>مواد ميكانيكا</v>
      </c>
      <c r="G504" s="21" t="str">
        <v>Plumbing Materials</v>
      </c>
      <c r="H504" s="21" t="str">
        <v>90</v>
      </c>
      <c r="I504" s="21" t="str">
        <v>22 05 00.1090</v>
      </c>
      <c r="J504" s="21" t="str">
        <v>اسبريه</v>
      </c>
      <c r="K504" s="21" t="str">
        <v>Cable Ties / Zip Ties</v>
      </c>
      <c r="L504" s="21">
        <v>0</v>
      </c>
    </row>
    <row r="505" spans="1:12" x14ac:dyDescent="0.25">
      <c r="A505" s="30" t="str">
        <v>22</v>
      </c>
      <c r="B505" s="21" t="str">
        <v>Plumbing</v>
      </c>
      <c r="C505" s="21" t="str">
        <v>05</v>
      </c>
      <c r="D505" s="21" t="str">
        <v>Common Work Results for Plumbing</v>
      </c>
      <c r="E505" s="21" t="str">
        <v>00.10</v>
      </c>
      <c r="F505" s="34" t="str">
        <v>مواد ميكانيكا</v>
      </c>
      <c r="G505" s="21" t="str">
        <v>Plumbing Materials</v>
      </c>
      <c r="H505" s="21" t="str">
        <v>91</v>
      </c>
      <c r="I505" s="21" t="str">
        <v>22 05 00.1091</v>
      </c>
      <c r="J505" s="21" t="str">
        <v>جلبه 1" بى فى سى SCH 40</v>
      </c>
      <c r="K505" s="21" t="str">
        <v>PVC Coupling 1 inch Schedule 40</v>
      </c>
      <c r="L505" s="21">
        <v>0</v>
      </c>
    </row>
  </sheetData>
  <sheetProtection algorithmName="SHA-512" hashValue="9VY+9H7SS/bUMDhgcNd6NSm5qu5YwR2yOym45Sf1mx42QVlD2SGOpDbRWt7kk3onwi11R2NMo/v2prglG/QZkw==" saltValue="GQ3+EC7K2XB1o5zRHzM8Cg==" spinCount="100000" sheet="1" objects="1" scenarios="1"/>
  <autoFilter ref="A1:K402" xr:uid="{D220D3F0-C022-4F96-A8B4-3EBE02F49BFA}"/>
  <pageMargins left="0" right="0" top="0.25" bottom="0" header="0.05" footer="0"/>
  <pageSetup paperSize="8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F40E-CA6E-4CF5-81B6-0550ABF39D9C}">
  <dimension ref="A1:F36"/>
  <sheetViews>
    <sheetView workbookViewId="0">
      <selection activeCell="B41" sqref="B41"/>
    </sheetView>
  </sheetViews>
  <sheetFormatPr defaultRowHeight="18.75" x14ac:dyDescent="0.25"/>
  <cols>
    <col min="1" max="1" width="13.140625" style="14" bestFit="1" customWidth="1"/>
    <col min="2" max="2" width="80.140625" style="14" bestFit="1" customWidth="1"/>
    <col min="4" max="4" width="17.85546875" style="16" bestFit="1" customWidth="1"/>
    <col min="5" max="5" width="26.140625" style="16" bestFit="1" customWidth="1"/>
    <col min="6" max="6" width="27.7109375" style="16" bestFit="1" customWidth="1"/>
  </cols>
  <sheetData>
    <row r="1" spans="1:6" ht="22.5" customHeight="1" thickBot="1" x14ac:dyDescent="0.3">
      <c r="A1" s="6" t="s">
        <v>0</v>
      </c>
      <c r="B1" s="7" t="s">
        <v>1</v>
      </c>
      <c r="D1" s="6" t="s">
        <v>1244</v>
      </c>
      <c r="E1" s="63" t="str" cm="1">
        <f t="array" ref="E1:F33">_xlfn.UNIQUE(Codes!F:G)</f>
        <v>Category Name Arabic</v>
      </c>
      <c r="F1" s="7" t="str">
        <v>Category Name English</v>
      </c>
    </row>
    <row r="2" spans="1:6" x14ac:dyDescent="0.25">
      <c r="A2" s="8">
        <v>0</v>
      </c>
      <c r="B2" s="9" t="s">
        <v>2</v>
      </c>
      <c r="D2" s="64">
        <v>1</v>
      </c>
      <c r="E2" s="65" t="str">
        <v>مخالفات الموقع</v>
      </c>
      <c r="F2" s="66" t="str">
        <v>Site Violations</v>
      </c>
    </row>
    <row r="3" spans="1:6" x14ac:dyDescent="0.25">
      <c r="A3" s="10">
        <v>1</v>
      </c>
      <c r="B3" s="11" t="s">
        <v>3</v>
      </c>
      <c r="D3" s="67">
        <f>D2+1</f>
        <v>2</v>
      </c>
      <c r="E3" s="68" t="str">
        <v>المياه</v>
      </c>
      <c r="F3" s="69" t="str">
        <v>Water</v>
      </c>
    </row>
    <row r="4" spans="1:6" x14ac:dyDescent="0.25">
      <c r="A4" s="10">
        <v>2</v>
      </c>
      <c r="B4" s="11" t="s">
        <v>4</v>
      </c>
      <c r="D4" s="67">
        <f t="shared" ref="D4:D29" si="0">D3+1</f>
        <v>3</v>
      </c>
      <c r="E4" s="68" t="str">
        <v>أوفر تيم الاستشاري</v>
      </c>
      <c r="F4" s="69" t="str">
        <v>Consultant Overtime</v>
      </c>
    </row>
    <row r="5" spans="1:6" x14ac:dyDescent="0.25">
      <c r="A5" s="10">
        <v>3</v>
      </c>
      <c r="B5" s="11" t="s">
        <v>5</v>
      </c>
      <c r="D5" s="67">
        <f t="shared" si="0"/>
        <v>4</v>
      </c>
      <c r="E5" s="68" t="str">
        <v>معدات السلامه</v>
      </c>
      <c r="F5" s="69" t="str">
        <v>Safety Equipment</v>
      </c>
    </row>
    <row r="6" spans="1:6" x14ac:dyDescent="0.25">
      <c r="A6" s="10">
        <v>4</v>
      </c>
      <c r="B6" s="11" t="s">
        <v>6</v>
      </c>
      <c r="D6" s="67">
        <f t="shared" si="0"/>
        <v>5</v>
      </c>
      <c r="E6" s="68" t="str">
        <v>الاسمنت</v>
      </c>
      <c r="F6" s="69" t="str">
        <v>Cement</v>
      </c>
    </row>
    <row r="7" spans="1:6" x14ac:dyDescent="0.25">
      <c r="A7" s="10">
        <v>5</v>
      </c>
      <c r="B7" s="11" t="s">
        <v>7</v>
      </c>
      <c r="D7" s="67">
        <f t="shared" si="0"/>
        <v>6</v>
      </c>
      <c r="E7" s="68" t="str">
        <v>الخشب</v>
      </c>
      <c r="F7" s="69" t="str">
        <v>Wood &amp; Formwork</v>
      </c>
    </row>
    <row r="8" spans="1:6" x14ac:dyDescent="0.25">
      <c r="A8" s="10">
        <v>6</v>
      </c>
      <c r="B8" s="11" t="s">
        <v>8</v>
      </c>
      <c r="D8" s="67">
        <f t="shared" si="0"/>
        <v>7</v>
      </c>
      <c r="E8" s="68" t="str">
        <v>البسكوت</v>
      </c>
      <c r="F8" s="69" t="str">
        <v>Concrete Spacers</v>
      </c>
    </row>
    <row r="9" spans="1:6" x14ac:dyDescent="0.25">
      <c r="A9" s="10">
        <v>7</v>
      </c>
      <c r="B9" s="11" t="s">
        <v>9</v>
      </c>
      <c r="D9" s="67">
        <f t="shared" si="0"/>
        <v>8</v>
      </c>
      <c r="E9" s="68" t="str">
        <v>الحديد</v>
      </c>
      <c r="F9" s="69" t="str">
        <v>Reinforcement Steel</v>
      </c>
    </row>
    <row r="10" spans="1:6" x14ac:dyDescent="0.25">
      <c r="A10" s="10">
        <v>8</v>
      </c>
      <c r="B10" s="11" t="s">
        <v>10</v>
      </c>
      <c r="D10" s="67">
        <f t="shared" si="0"/>
        <v>9</v>
      </c>
      <c r="E10" s="68" t="str">
        <v>steel wire mesh</v>
      </c>
      <c r="F10" s="69" t="str">
        <v>steel wire mesh</v>
      </c>
    </row>
    <row r="11" spans="1:6" x14ac:dyDescent="0.25">
      <c r="A11" s="10">
        <v>9</v>
      </c>
      <c r="B11" s="11" t="s">
        <v>11</v>
      </c>
      <c r="D11" s="67">
        <f t="shared" si="0"/>
        <v>10</v>
      </c>
      <c r="E11" s="68" t="str">
        <v>الخرسانه</v>
      </c>
      <c r="F11" s="69" t="str">
        <v>Concrete</v>
      </c>
    </row>
    <row r="12" spans="1:6" x14ac:dyDescent="0.25">
      <c r="A12" s="10">
        <v>10</v>
      </c>
      <c r="B12" s="11" t="s">
        <v>12</v>
      </c>
      <c r="D12" s="67">
        <f t="shared" si="0"/>
        <v>11</v>
      </c>
      <c r="E12" s="68" t="str">
        <v>مواد معالجة الخرسانه</v>
      </c>
      <c r="F12" s="69" t="str">
        <v>Concrete Treatment Materials</v>
      </c>
    </row>
    <row r="13" spans="1:6" x14ac:dyDescent="0.25">
      <c r="A13" s="10">
        <v>11</v>
      </c>
      <c r="B13" s="11" t="s">
        <v>13</v>
      </c>
      <c r="D13" s="67">
        <f t="shared" si="0"/>
        <v>12</v>
      </c>
      <c r="E13" s="68" t="str">
        <v>البلوك</v>
      </c>
      <c r="F13" s="69" t="str">
        <v>Blocks</v>
      </c>
    </row>
    <row r="14" spans="1:6" x14ac:dyDescent="0.25">
      <c r="A14" s="10">
        <v>12</v>
      </c>
      <c r="B14" s="11" t="s">
        <v>14</v>
      </c>
      <c r="D14" s="67">
        <f t="shared" si="0"/>
        <v>13</v>
      </c>
      <c r="E14" s="68" t="str">
        <v>اكسسوارات البلوك</v>
      </c>
      <c r="F14" s="69" t="str">
        <v>Block Accessories</v>
      </c>
    </row>
    <row r="15" spans="1:6" x14ac:dyDescent="0.25">
      <c r="A15" s="10">
        <v>13</v>
      </c>
      <c r="B15" s="11" t="s">
        <v>15</v>
      </c>
      <c r="D15" s="67">
        <f t="shared" si="0"/>
        <v>14</v>
      </c>
      <c r="E15" s="68" t="str">
        <v>السقالات</v>
      </c>
      <c r="F15" s="69" t="str">
        <v>Scaffolding</v>
      </c>
    </row>
    <row r="16" spans="1:6" x14ac:dyDescent="0.25">
      <c r="A16" s="10">
        <v>14</v>
      </c>
      <c r="B16" s="11" t="s">
        <v>16</v>
      </c>
      <c r="D16" s="67">
        <f t="shared" si="0"/>
        <v>15</v>
      </c>
      <c r="E16" s="68" t="str">
        <v>مواد العزل</v>
      </c>
      <c r="F16" s="69" t="str">
        <v>Insulation Materials</v>
      </c>
    </row>
    <row r="17" spans="1:6" x14ac:dyDescent="0.25">
      <c r="A17" s="10">
        <v>21</v>
      </c>
      <c r="B17" s="11" t="s">
        <v>17</v>
      </c>
      <c r="D17" s="67">
        <f t="shared" si="0"/>
        <v>16</v>
      </c>
      <c r="E17" s="68" t="str">
        <v>جبسومبورد</v>
      </c>
      <c r="F17" s="69" t="str">
        <v>Gypsum Board</v>
      </c>
    </row>
    <row r="18" spans="1:6" x14ac:dyDescent="0.25">
      <c r="A18" s="10">
        <v>22</v>
      </c>
      <c r="B18" s="11" t="s">
        <v>18</v>
      </c>
      <c r="D18" s="67">
        <f t="shared" si="0"/>
        <v>17</v>
      </c>
      <c r="E18" s="68" t="str">
        <v>جبسومبورد</v>
      </c>
      <c r="F18" s="69">
        <v>0</v>
      </c>
    </row>
    <row r="19" spans="1:6" x14ac:dyDescent="0.25">
      <c r="A19" s="10">
        <v>23</v>
      </c>
      <c r="B19" s="11" t="s">
        <v>19</v>
      </c>
      <c r="D19" s="67">
        <f t="shared" si="0"/>
        <v>18</v>
      </c>
      <c r="E19" s="68" t="str">
        <v>اكسسوارات اللياسه</v>
      </c>
      <c r="F19" s="69" t="str">
        <v>Plastering Accessories</v>
      </c>
    </row>
    <row r="20" spans="1:6" x14ac:dyDescent="0.25">
      <c r="A20" s="10">
        <v>25</v>
      </c>
      <c r="B20" s="11" t="s">
        <v>20</v>
      </c>
      <c r="D20" s="67">
        <f t="shared" si="0"/>
        <v>19</v>
      </c>
      <c r="E20" s="68" t="str">
        <v>السيراميك</v>
      </c>
      <c r="F20" s="69" t="str">
        <v>Ceramics</v>
      </c>
    </row>
    <row r="21" spans="1:6" x14ac:dyDescent="0.25">
      <c r="A21" s="10">
        <v>26</v>
      </c>
      <c r="B21" s="11" t="s">
        <v>21</v>
      </c>
      <c r="D21" s="67">
        <f t="shared" si="0"/>
        <v>20</v>
      </c>
      <c r="E21" s="68" t="str">
        <v>السيراميك</v>
      </c>
      <c r="F21" s="69">
        <v>0</v>
      </c>
    </row>
    <row r="22" spans="1:6" x14ac:dyDescent="0.25">
      <c r="A22" s="10">
        <v>27</v>
      </c>
      <c r="B22" s="11" t="s">
        <v>22</v>
      </c>
      <c r="D22" s="67">
        <f t="shared" si="0"/>
        <v>21</v>
      </c>
      <c r="E22" s="68" t="str">
        <v>الدهانات</v>
      </c>
      <c r="F22" s="69" t="str">
        <v>Paints</v>
      </c>
    </row>
    <row r="23" spans="1:6" x14ac:dyDescent="0.25">
      <c r="A23" s="10">
        <v>28</v>
      </c>
      <c r="B23" s="11" t="s">
        <v>23</v>
      </c>
      <c r="D23" s="67">
        <f t="shared" si="0"/>
        <v>22</v>
      </c>
      <c r="E23" s="68" t="str">
        <v>الدهانات (سيحما + مايستر)</v>
      </c>
      <c r="F23" s="69" t="str">
        <v>Paints (SIGMA + MEISTER)</v>
      </c>
    </row>
    <row r="24" spans="1:6" x14ac:dyDescent="0.25">
      <c r="A24" s="10">
        <v>31</v>
      </c>
      <c r="B24" s="11" t="s">
        <v>24</v>
      </c>
      <c r="D24" s="67">
        <f t="shared" si="0"/>
        <v>23</v>
      </c>
      <c r="E24" s="68" t="str">
        <v>مكافحة الحشرات</v>
      </c>
      <c r="F24" s="69" t="str">
        <v>Pest Control</v>
      </c>
    </row>
    <row r="25" spans="1:6" x14ac:dyDescent="0.25">
      <c r="A25" s="10">
        <v>32</v>
      </c>
      <c r="B25" s="11" t="s">
        <v>25</v>
      </c>
      <c r="D25" s="67">
        <f t="shared" si="0"/>
        <v>24</v>
      </c>
      <c r="E25" s="68" t="str">
        <v>نايلون شيت</v>
      </c>
      <c r="F25" s="69" t="str">
        <v>Nylon Sheets</v>
      </c>
    </row>
    <row r="26" spans="1:6" x14ac:dyDescent="0.25">
      <c r="A26" s="10">
        <v>33</v>
      </c>
      <c r="B26" s="11" t="s">
        <v>26</v>
      </c>
      <c r="D26" s="67">
        <f t="shared" si="0"/>
        <v>25</v>
      </c>
      <c r="E26" s="68" t="str">
        <v>انترلوك</v>
      </c>
      <c r="F26" s="69" t="str">
        <v>Interlock Pavers</v>
      </c>
    </row>
    <row r="27" spans="1:6" x14ac:dyDescent="0.25">
      <c r="A27" s="10">
        <v>34</v>
      </c>
      <c r="B27" s="11" t="s">
        <v>27</v>
      </c>
      <c r="D27" s="67">
        <f t="shared" si="0"/>
        <v>26</v>
      </c>
      <c r="E27" s="68" t="str">
        <v>المعدات</v>
      </c>
      <c r="F27" s="69" t="str">
        <v>Equipment</v>
      </c>
    </row>
    <row r="28" spans="1:6" x14ac:dyDescent="0.25">
      <c r="A28" s="10">
        <v>35</v>
      </c>
      <c r="B28" s="11" t="s">
        <v>28</v>
      </c>
      <c r="D28" s="67">
        <f t="shared" si="0"/>
        <v>27</v>
      </c>
      <c r="E28" s="68" t="str">
        <v>مواد بناء ومواد اخرى</v>
      </c>
      <c r="F28" s="69" t="str">
        <v>Building Materials and Others</v>
      </c>
    </row>
    <row r="29" spans="1:6" ht="19.5" thickBot="1" x14ac:dyDescent="0.3">
      <c r="A29" s="10">
        <v>40</v>
      </c>
      <c r="B29" s="11" t="s">
        <v>29</v>
      </c>
      <c r="D29" s="70">
        <f t="shared" si="0"/>
        <v>28</v>
      </c>
      <c r="E29" s="71" t="str">
        <v>مواد كهرباء</v>
      </c>
      <c r="F29" s="72" t="str">
        <v>Electrical Materials</v>
      </c>
    </row>
    <row r="30" spans="1:6" x14ac:dyDescent="0.25">
      <c r="A30" s="10">
        <v>41</v>
      </c>
      <c r="B30" s="11" t="s">
        <v>30</v>
      </c>
      <c r="E30" s="16">
        <v>0</v>
      </c>
      <c r="F30" s="16">
        <v>0</v>
      </c>
    </row>
    <row r="31" spans="1:6" x14ac:dyDescent="0.25">
      <c r="A31" s="10">
        <v>42</v>
      </c>
      <c r="B31" s="11" t="s">
        <v>31</v>
      </c>
      <c r="E31" s="16" t="str">
        <v>مواد كهرباء</v>
      </c>
      <c r="F31" s="16">
        <v>0</v>
      </c>
    </row>
    <row r="32" spans="1:6" x14ac:dyDescent="0.25">
      <c r="A32" s="10">
        <v>43</v>
      </c>
      <c r="B32" s="11" t="s">
        <v>32</v>
      </c>
      <c r="E32" s="16" t="str">
        <v>مواد ميكانيكا</v>
      </c>
      <c r="F32" s="16" t="str">
        <v>Plumbing Materials</v>
      </c>
    </row>
    <row r="33" spans="1:6" x14ac:dyDescent="0.25">
      <c r="A33" s="10">
        <v>44</v>
      </c>
      <c r="B33" s="11" t="s">
        <v>33</v>
      </c>
      <c r="E33" s="16">
        <v>0</v>
      </c>
      <c r="F33" s="16">
        <v>0</v>
      </c>
    </row>
    <row r="34" spans="1:6" x14ac:dyDescent="0.25">
      <c r="A34" s="10">
        <v>45</v>
      </c>
      <c r="B34" s="11" t="s">
        <v>34</v>
      </c>
    </row>
    <row r="35" spans="1:6" x14ac:dyDescent="0.25">
      <c r="A35" s="10">
        <v>46</v>
      </c>
      <c r="B35" s="11" t="s">
        <v>35</v>
      </c>
    </row>
    <row r="36" spans="1:6" ht="19.5" thickBot="1" x14ac:dyDescent="0.3">
      <c r="A36" s="12">
        <v>48</v>
      </c>
      <c r="B36" s="13" t="s">
        <v>36</v>
      </c>
    </row>
  </sheetData>
  <sheetProtection algorithmName="SHA-512" hashValue="lkZE/UskfEo+oAIyuQCwo4DqoUEmqI8I8WS+m527n2WOwO4BhYN493cJtxU1U3fmUaQX2oFzEltcA143jwvE6Q==" saltValue="A2UTN/Nsyh8qdOFp8dIk/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D216-0EEA-4BF6-ACE5-4FFE568ADA70}">
  <dimension ref="A1:ZY516"/>
  <sheetViews>
    <sheetView showZeros="0" tabSelected="1" topLeftCell="H23" zoomScale="70" zoomScaleNormal="70" workbookViewId="0">
      <selection activeCell="K15" sqref="I15:K17"/>
    </sheetView>
  </sheetViews>
  <sheetFormatPr defaultRowHeight="15" x14ac:dyDescent="0.25"/>
  <cols>
    <col min="1" max="1" width="14" customWidth="1"/>
    <col min="2" max="2" width="44.28515625" bestFit="1" customWidth="1"/>
    <col min="3" max="3" width="32.140625" customWidth="1"/>
    <col min="4" max="4" width="38.140625" bestFit="1" customWidth="1"/>
    <col min="5" max="5" width="21.5703125" bestFit="1" customWidth="1"/>
    <col min="6" max="6" width="27.7109375" customWidth="1"/>
    <col min="7" max="7" width="41.7109375" hidden="1" customWidth="1"/>
    <col min="8" max="8" width="9.7109375" customWidth="1"/>
    <col min="9" max="9" width="16.28515625" customWidth="1"/>
    <col min="10" max="10" width="35.140625" customWidth="1"/>
    <col min="11" max="11" width="84.140625" customWidth="1"/>
    <col min="12" max="12" width="12.7109375" customWidth="1"/>
    <col min="13" max="13" width="21" customWidth="1"/>
    <col min="14" max="15" width="12.7109375" style="78" hidden="1" customWidth="1"/>
    <col min="16" max="16" width="93" style="78" hidden="1" customWidth="1"/>
    <col min="17" max="19" width="12.7109375" style="78" hidden="1" customWidth="1"/>
    <col min="20" max="20" width="9.7109375" style="93" customWidth="1"/>
    <col min="21" max="94" width="14.85546875" style="16" customWidth="1"/>
    <col min="95" max="703" width="14.85546875" customWidth="1"/>
  </cols>
  <sheetData>
    <row r="1" spans="1:701" s="49" customFormat="1" ht="94.5" thickBot="1" x14ac:dyDescent="0.25">
      <c r="A1" s="51"/>
      <c r="B1" s="47" t="s">
        <v>1229</v>
      </c>
      <c r="C1" s="46"/>
      <c r="D1" s="45"/>
      <c r="E1" s="45"/>
      <c r="F1" s="45"/>
      <c r="G1" s="45"/>
      <c r="H1" s="45"/>
      <c r="I1" s="45"/>
      <c r="J1" s="45"/>
      <c r="K1" s="52"/>
      <c r="L1" s="52"/>
      <c r="M1" s="52"/>
      <c r="N1" s="52"/>
      <c r="O1" s="52"/>
      <c r="P1" s="52"/>
      <c r="Q1" s="52"/>
      <c r="R1" s="52"/>
      <c r="S1" s="52"/>
      <c r="T1" s="90"/>
      <c r="U1" s="73" t="str" cm="1">
        <f t="array" ref="U1:ZY1">TRANSPOSE([1]Links!$B$3:$B$683)</f>
        <v>خليج الكوثر للتجاره والمقاولات</v>
      </c>
      <c r="V1" s="73" t="str">
        <v>مؤسسه العماره الهندسيه</v>
      </c>
      <c r="W1" s="73" t="str">
        <v>مؤسسه ورود حسن الكحيليني</v>
      </c>
      <c r="X1" s="73" t="str">
        <v>مؤسسه عبد العزيز أحمد الناصر</v>
      </c>
      <c r="Y1" s="73" t="str">
        <v>مؤسسه انجاز الأثير للمقاولات</v>
      </c>
      <c r="Z1" s="73" t="str">
        <v>مؤسسه خديجة صالح سالم البلوى</v>
      </c>
      <c r="AA1" s="73" t="str">
        <v>مؤسسه تمارا المستقبل للصيانة</v>
      </c>
      <c r="AB1" s="73" t="str">
        <v>مؤسسه فلاح دريميح المطيرى</v>
      </c>
      <c r="AC1" s="73" t="str">
        <v>مؤسسه سلسبيل الصفا للتشغيل والصيانة</v>
      </c>
      <c r="AD1" s="73" t="str">
        <v>البنائيين العرب</v>
      </c>
      <c r="AE1" s="73" t="str">
        <v>الخبرات العمالية</v>
      </c>
      <c r="AF1" s="73" t="str">
        <v>منظومة إعمار(لاغى)</v>
      </c>
      <c r="AG1" s="73" t="str">
        <v>جوان الأولى</v>
      </c>
      <c r="AH1" s="73" t="str">
        <v>حسين (لاغى)</v>
      </c>
      <c r="AI1" s="73" t="str">
        <v xml:space="preserve"> على السيد</v>
      </c>
      <c r="AJ1" s="73" t="str">
        <v>أحمد عصام (لاغى )</v>
      </c>
      <c r="AK1" s="73" t="str">
        <v>أحمد السوهاجى</v>
      </c>
      <c r="AL1" s="73" t="str">
        <v>مؤسسة جاسم البحار (حوالة )</v>
      </c>
      <c r="AM1" s="73" t="str">
        <v>مهندس كريم (لاغى)</v>
      </c>
      <c r="AN1" s="73" t="str">
        <v>شركة الرحاب ( لاغى)</v>
      </c>
      <c r="AO1" s="73" t="str">
        <v>سعد يونس (كاش) - المجرة الشرقية</v>
      </c>
      <c r="AP1" s="73">
        <v>0</v>
      </c>
      <c r="AQ1" s="73" t="str">
        <v>الخبرات العمالية (حوالة )</v>
      </c>
      <c r="AR1" s="73" t="str">
        <v>المتمكن للمقاولات(حوالة )</v>
      </c>
      <c r="AS1" s="73" t="str">
        <v>مؤسسه فلاح دريميح المطيرى(لاغي)</v>
      </c>
      <c r="AT1" s="73" t="str">
        <v>مؤسسه تمارا المستقبل للصيانة (لاغي)</v>
      </c>
      <c r="AU1" s="73" t="str">
        <v>جوان الأولى(لاغي )</v>
      </c>
      <c r="AV1" s="73" t="str">
        <v>خليج الكوثر للتجاره والمقاولات MEP</v>
      </c>
      <c r="AW1" s="73" t="str">
        <v>جمال</v>
      </c>
      <c r="AX1" s="73" t="str">
        <v xml:space="preserve">مؤسسة فاطمة العليانى </v>
      </c>
      <c r="AY1" s="73" t="str">
        <v>محمد عبد الله سيد بركات ( روعة) - كاش Mep</v>
      </c>
      <c r="AZ1" s="73" t="str">
        <v>محمد مجاهد (لاغى)</v>
      </c>
      <c r="BA1" s="73" t="str">
        <v>إسماعيل</v>
      </c>
      <c r="BB1" s="73" t="str">
        <v>الخبرات العمالية ( بلوك) - مقيد</v>
      </c>
      <c r="BC1" s="73" t="str">
        <v>كمال- (بلوك)</v>
      </c>
      <c r="BD1" s="73" t="str">
        <v>عبد الملك( بلوك) /شهباز</v>
      </c>
      <c r="BE1" s="73" t="str">
        <v>مالك( بلوك) ( لاغى)</v>
      </c>
      <c r="BF1" s="73" t="str">
        <v>محمد محى (كاش)(أكبر)</v>
      </c>
      <c r="BG1" s="73">
        <v>0</v>
      </c>
      <c r="BH1" s="73" t="str">
        <v>أحمد عصام ( نجار)</v>
      </c>
      <c r="BI1" s="73" t="str">
        <v>حسين ( نجار )</v>
      </c>
      <c r="BJ1" s="73" t="str">
        <v>مصطفى (لاغى)</v>
      </c>
      <c r="BK1" s="73" t="str">
        <v xml:space="preserve">احمد العجوز ( حداد ) </v>
      </c>
      <c r="BL1" s="73" t="str">
        <v xml:space="preserve">أحمد عبد العظيم </v>
      </c>
      <c r="BM1" s="73" t="str">
        <v>جمال الباجورى (كاش)</v>
      </c>
      <c r="BN1" s="73" t="str">
        <v>شمس الحديثة (حوالة )</v>
      </c>
      <c r="BO1" s="73" t="str">
        <v>محمد مجاهد ( حداد )</v>
      </c>
      <c r="BP1" s="73" t="str">
        <v xml:space="preserve">محمد حمادة ( نجار +حداد) لاغى  </v>
      </c>
      <c r="BQ1" s="73" t="str">
        <v xml:space="preserve">مصطفى ( حداد ) </v>
      </c>
      <c r="BR1" s="73" t="str">
        <v>خيرى ( حدادة + نجارة )</v>
      </c>
      <c r="BS1" s="73" t="str">
        <v>محمد الحلبى ( حداد )</v>
      </c>
      <c r="BT1" s="73" t="str">
        <v>افتخار  ( بلوك ) ( طارق)</v>
      </c>
      <c r="BU1" s="73" t="str">
        <v>سامى ( بلوك )</v>
      </c>
      <c r="BV1" s="73" t="str">
        <v xml:space="preserve">عطية ( حداد ) </v>
      </c>
      <c r="BW1" s="73" t="str">
        <v>أحمد المدنى ( حداد )</v>
      </c>
      <c r="BX1" s="73" t="str">
        <v>أسامة ( مليس )</v>
      </c>
      <c r="BY1" s="73" t="str">
        <v>اسلام خان ( مليس )</v>
      </c>
      <c r="BZ1" s="73" t="str">
        <v>فازان ( مليس )</v>
      </c>
      <c r="CA1" s="73" t="str">
        <v>شهباز ( مليس)( عبد الملك)</v>
      </c>
      <c r="CB1" s="73" t="str">
        <v>احمد ذكى ( جبس )</v>
      </c>
      <c r="CC1" s="73" t="str">
        <v>شهباز ( MEP ) (حوالة)</v>
      </c>
      <c r="CD1" s="73" t="str">
        <v>عارف (MEP) (كاش)</v>
      </c>
      <c r="CE1" s="73" t="str">
        <v>كاشير خان  ( بلوك )</v>
      </c>
      <c r="CF1" s="73" t="str">
        <v>أبو ياسين ( حداد )</v>
      </c>
      <c r="CG1" s="73" t="str">
        <v>صالح (شدة معدنية)</v>
      </c>
      <c r="CH1" s="73" t="str">
        <v>زى شان (بلوك)</v>
      </c>
      <c r="CI1" s="73" t="str">
        <v>فهد معدات ( كور)</v>
      </c>
      <c r="CJ1" s="73" t="str">
        <v>على قنديل (بلوك) - وليد شعبان</v>
      </c>
      <c r="CK1" s="73" t="str">
        <v>مؤسسه ورود حسن الكحيليني</v>
      </c>
      <c r="CL1" s="73" t="str">
        <v>كاشير خان  (مليس)</v>
      </c>
      <c r="CM1" s="73" t="str">
        <v>رفعت (مليس)</v>
      </c>
      <c r="CN1" s="73" t="str">
        <v>ياسر (دهان)</v>
      </c>
      <c r="CO1" s="73" t="str">
        <v>أكبر ( سباك)(لاغى)</v>
      </c>
      <c r="CP1" s="73" t="str">
        <v>تبيان (MEP)</v>
      </c>
      <c r="CQ1" s="73" t="str">
        <v>مزمل (MEP)</v>
      </c>
      <c r="CR1" s="73" t="str">
        <v>محمد يونس (مليس)</v>
      </c>
      <c r="CS1" s="73" t="str">
        <v>إيمان راشد للمقاولات ( تشطيبات)</v>
      </c>
      <c r="CT1" s="73" t="str">
        <v>التراث الشرقى</v>
      </c>
      <c r="CU1" s="73" t="str">
        <v>نسر مصر (MEP)</v>
      </c>
      <c r="CV1" s="73">
        <v>0</v>
      </c>
      <c r="CW1" s="73">
        <v>0</v>
      </c>
      <c r="CX1" s="73">
        <v>0</v>
      </c>
      <c r="CY1" s="73">
        <v>0</v>
      </c>
      <c r="CZ1" s="73">
        <v>0</v>
      </c>
      <c r="DA1" s="73">
        <v>0</v>
      </c>
      <c r="DB1" s="73">
        <v>0</v>
      </c>
      <c r="DC1" s="73">
        <v>0</v>
      </c>
      <c r="DD1" s="73">
        <v>0</v>
      </c>
      <c r="DE1" s="73">
        <v>0</v>
      </c>
      <c r="DF1" s="73">
        <v>0</v>
      </c>
      <c r="DG1" s="73">
        <v>0</v>
      </c>
      <c r="DH1" s="73">
        <v>0</v>
      </c>
      <c r="DI1" s="73">
        <v>0</v>
      </c>
      <c r="DJ1" s="74">
        <v>0</v>
      </c>
      <c r="DK1" s="48">
        <v>0</v>
      </c>
      <c r="DL1" s="48">
        <v>0</v>
      </c>
      <c r="DM1" s="48">
        <v>0</v>
      </c>
      <c r="DN1" s="48">
        <v>0</v>
      </c>
      <c r="DO1" s="48">
        <v>0</v>
      </c>
      <c r="DP1" s="48">
        <v>0</v>
      </c>
      <c r="DQ1" s="48">
        <v>0</v>
      </c>
      <c r="DR1" s="48">
        <v>0</v>
      </c>
      <c r="DS1" s="48">
        <v>0</v>
      </c>
      <c r="DT1" s="48">
        <v>0</v>
      </c>
      <c r="DU1" s="48">
        <v>0</v>
      </c>
      <c r="DV1" s="48">
        <v>0</v>
      </c>
      <c r="DW1" s="48">
        <v>0</v>
      </c>
      <c r="DX1" s="48">
        <v>0</v>
      </c>
      <c r="DY1" s="48">
        <v>0</v>
      </c>
      <c r="DZ1" s="48">
        <v>0</v>
      </c>
      <c r="EA1" s="48">
        <v>0</v>
      </c>
      <c r="EB1" s="48">
        <v>0</v>
      </c>
      <c r="EC1" s="48">
        <v>0</v>
      </c>
      <c r="ED1" s="48">
        <v>0</v>
      </c>
      <c r="EE1" s="48">
        <v>0</v>
      </c>
      <c r="EF1" s="48">
        <v>0</v>
      </c>
      <c r="EG1" s="48">
        <v>0</v>
      </c>
      <c r="EH1" s="48">
        <v>0</v>
      </c>
      <c r="EI1" s="48">
        <v>0</v>
      </c>
      <c r="EJ1" s="48">
        <v>0</v>
      </c>
      <c r="EK1" s="48">
        <v>0</v>
      </c>
      <c r="EL1" s="48">
        <v>0</v>
      </c>
      <c r="EM1" s="48">
        <v>0</v>
      </c>
      <c r="EN1" s="48">
        <v>0</v>
      </c>
      <c r="EO1" s="48">
        <v>0</v>
      </c>
      <c r="EP1" s="48">
        <v>0</v>
      </c>
      <c r="EQ1" s="48">
        <v>0</v>
      </c>
      <c r="ER1" s="48">
        <v>0</v>
      </c>
      <c r="ES1" s="48">
        <v>0</v>
      </c>
      <c r="ET1" s="48">
        <v>0</v>
      </c>
      <c r="EU1" s="48">
        <v>0</v>
      </c>
      <c r="EV1" s="48">
        <v>0</v>
      </c>
      <c r="EW1" s="48">
        <v>0</v>
      </c>
      <c r="EX1" s="48">
        <v>0</v>
      </c>
      <c r="EY1" s="48">
        <v>0</v>
      </c>
      <c r="EZ1" s="48">
        <v>0</v>
      </c>
      <c r="FA1" s="48">
        <v>0</v>
      </c>
      <c r="FB1" s="48">
        <v>0</v>
      </c>
      <c r="FC1" s="48">
        <v>0</v>
      </c>
      <c r="FD1" s="48">
        <v>0</v>
      </c>
      <c r="FE1" s="48">
        <v>0</v>
      </c>
      <c r="FF1" s="48">
        <v>0</v>
      </c>
      <c r="FG1" s="48">
        <v>0</v>
      </c>
      <c r="FH1" s="48">
        <v>0</v>
      </c>
      <c r="FI1" s="48">
        <v>0</v>
      </c>
      <c r="FJ1" s="48">
        <v>0</v>
      </c>
      <c r="FK1" s="48">
        <v>0</v>
      </c>
      <c r="FL1" s="48">
        <v>0</v>
      </c>
      <c r="FM1" s="48">
        <v>0</v>
      </c>
      <c r="FN1" s="48">
        <v>0</v>
      </c>
      <c r="FO1" s="48">
        <v>0</v>
      </c>
      <c r="FP1" s="48">
        <v>0</v>
      </c>
      <c r="FQ1" s="48">
        <v>0</v>
      </c>
      <c r="FR1" s="48">
        <v>0</v>
      </c>
      <c r="FS1" s="48">
        <v>0</v>
      </c>
      <c r="FT1" s="48">
        <v>0</v>
      </c>
      <c r="FU1" s="48">
        <v>0</v>
      </c>
      <c r="FV1" s="48">
        <v>0</v>
      </c>
      <c r="FW1" s="48">
        <v>0</v>
      </c>
      <c r="FX1" s="48">
        <v>0</v>
      </c>
      <c r="FY1" s="48">
        <v>0</v>
      </c>
      <c r="FZ1" s="48">
        <v>0</v>
      </c>
      <c r="GA1" s="48">
        <v>0</v>
      </c>
      <c r="GB1" s="48">
        <v>0</v>
      </c>
      <c r="GC1" s="48">
        <v>0</v>
      </c>
      <c r="GD1" s="48">
        <v>0</v>
      </c>
      <c r="GE1" s="48">
        <v>0</v>
      </c>
      <c r="GF1" s="48">
        <v>0</v>
      </c>
      <c r="GG1" s="48">
        <v>0</v>
      </c>
      <c r="GH1" s="48">
        <v>0</v>
      </c>
      <c r="GI1" s="48">
        <v>0</v>
      </c>
      <c r="GJ1" s="48">
        <v>0</v>
      </c>
      <c r="GK1" s="48">
        <v>0</v>
      </c>
      <c r="GL1" s="48">
        <v>0</v>
      </c>
      <c r="GM1" s="48">
        <v>0</v>
      </c>
      <c r="GN1" s="48">
        <v>0</v>
      </c>
      <c r="GO1" s="48">
        <v>0</v>
      </c>
      <c r="GP1" s="48">
        <v>0</v>
      </c>
      <c r="GQ1" s="48">
        <v>0</v>
      </c>
      <c r="GR1" s="48">
        <v>0</v>
      </c>
      <c r="GS1" s="48">
        <v>0</v>
      </c>
      <c r="GT1" s="48">
        <v>0</v>
      </c>
      <c r="GU1" s="48">
        <v>0</v>
      </c>
      <c r="GV1" s="48">
        <v>0</v>
      </c>
      <c r="GW1" s="48">
        <v>0</v>
      </c>
      <c r="GX1" s="48">
        <v>0</v>
      </c>
      <c r="GY1" s="48">
        <v>0</v>
      </c>
      <c r="GZ1" s="48">
        <v>0</v>
      </c>
      <c r="HA1" s="48">
        <v>0</v>
      </c>
      <c r="HB1" s="48">
        <v>0</v>
      </c>
      <c r="HC1" s="48">
        <v>0</v>
      </c>
      <c r="HD1" s="48">
        <v>0</v>
      </c>
      <c r="HE1" s="48">
        <v>0</v>
      </c>
      <c r="HF1" s="48">
        <v>0</v>
      </c>
      <c r="HG1" s="48">
        <v>0</v>
      </c>
      <c r="HH1" s="48">
        <v>0</v>
      </c>
      <c r="HI1" s="48">
        <v>0</v>
      </c>
      <c r="HJ1" s="48">
        <v>0</v>
      </c>
      <c r="HK1" s="48">
        <v>0</v>
      </c>
      <c r="HL1" s="48">
        <v>0</v>
      </c>
      <c r="HM1" s="48">
        <v>0</v>
      </c>
      <c r="HN1" s="48">
        <v>0</v>
      </c>
      <c r="HO1" s="48">
        <v>0</v>
      </c>
      <c r="HP1" s="48">
        <v>0</v>
      </c>
      <c r="HQ1" s="48">
        <v>0</v>
      </c>
      <c r="HR1" s="48">
        <v>0</v>
      </c>
      <c r="HS1" s="48">
        <v>0</v>
      </c>
      <c r="HT1" s="48">
        <v>0</v>
      </c>
      <c r="HU1" s="48">
        <v>0</v>
      </c>
      <c r="HV1" s="48">
        <v>0</v>
      </c>
      <c r="HW1" s="48">
        <v>0</v>
      </c>
      <c r="HX1" s="48">
        <v>0</v>
      </c>
      <c r="HY1" s="48">
        <v>0</v>
      </c>
      <c r="HZ1" s="48">
        <v>0</v>
      </c>
      <c r="IA1" s="48">
        <v>0</v>
      </c>
      <c r="IB1" s="48">
        <v>0</v>
      </c>
      <c r="IC1" s="48">
        <v>0</v>
      </c>
      <c r="ID1" s="48">
        <v>0</v>
      </c>
      <c r="IE1" s="48">
        <v>0</v>
      </c>
      <c r="IF1" s="48">
        <v>0</v>
      </c>
      <c r="IG1" s="48">
        <v>0</v>
      </c>
      <c r="IH1" s="48">
        <v>0</v>
      </c>
      <c r="II1" s="48">
        <v>0</v>
      </c>
      <c r="IJ1" s="48">
        <v>0</v>
      </c>
      <c r="IK1" s="48">
        <v>0</v>
      </c>
      <c r="IL1" s="48">
        <v>0</v>
      </c>
      <c r="IM1" s="48">
        <v>0</v>
      </c>
      <c r="IN1" s="48">
        <v>0</v>
      </c>
      <c r="IO1" s="48">
        <v>0</v>
      </c>
      <c r="IP1" s="48">
        <v>0</v>
      </c>
      <c r="IQ1" s="48">
        <v>0</v>
      </c>
      <c r="IR1" s="48">
        <v>0</v>
      </c>
      <c r="IS1" s="48">
        <v>0</v>
      </c>
      <c r="IT1" s="48">
        <v>0</v>
      </c>
      <c r="IU1" s="48">
        <v>0</v>
      </c>
      <c r="IV1" s="48">
        <v>0</v>
      </c>
      <c r="IW1" s="48">
        <v>0</v>
      </c>
      <c r="IX1" s="48">
        <v>0</v>
      </c>
      <c r="IY1" s="48">
        <v>0</v>
      </c>
      <c r="IZ1" s="48">
        <v>0</v>
      </c>
      <c r="JA1" s="48">
        <v>0</v>
      </c>
      <c r="JB1" s="48">
        <v>0</v>
      </c>
      <c r="JC1" s="48">
        <v>0</v>
      </c>
      <c r="JD1" s="48">
        <v>0</v>
      </c>
      <c r="JE1" s="48">
        <v>0</v>
      </c>
      <c r="JF1" s="48">
        <v>0</v>
      </c>
      <c r="JG1" s="48">
        <v>0</v>
      </c>
      <c r="JH1" s="48">
        <v>0</v>
      </c>
      <c r="JI1" s="48">
        <v>0</v>
      </c>
      <c r="JJ1" s="48">
        <v>0</v>
      </c>
      <c r="JK1" s="48">
        <v>0</v>
      </c>
      <c r="JL1" s="48">
        <v>0</v>
      </c>
      <c r="JM1" s="48">
        <v>0</v>
      </c>
      <c r="JN1" s="48">
        <v>0</v>
      </c>
      <c r="JO1" s="48">
        <v>0</v>
      </c>
      <c r="JP1" s="48">
        <v>0</v>
      </c>
      <c r="JQ1" s="48">
        <v>0</v>
      </c>
      <c r="JR1" s="48">
        <v>0</v>
      </c>
      <c r="JS1" s="48">
        <v>0</v>
      </c>
      <c r="JT1" s="48">
        <v>0</v>
      </c>
      <c r="JU1" s="48">
        <v>0</v>
      </c>
      <c r="JV1" s="48">
        <v>0</v>
      </c>
      <c r="JW1" s="48">
        <v>0</v>
      </c>
      <c r="JX1" s="48">
        <v>0</v>
      </c>
      <c r="JY1" s="48">
        <v>0</v>
      </c>
      <c r="JZ1" s="48">
        <v>0</v>
      </c>
      <c r="KA1" s="48">
        <v>0</v>
      </c>
      <c r="KB1" s="48">
        <v>0</v>
      </c>
      <c r="KC1" s="48">
        <v>0</v>
      </c>
      <c r="KD1" s="48">
        <v>0</v>
      </c>
      <c r="KE1" s="48">
        <v>0</v>
      </c>
      <c r="KF1" s="48">
        <v>0</v>
      </c>
      <c r="KG1" s="48">
        <v>0</v>
      </c>
      <c r="KH1" s="48">
        <v>0</v>
      </c>
      <c r="KI1" s="48">
        <v>0</v>
      </c>
      <c r="KJ1" s="48">
        <v>0</v>
      </c>
      <c r="KK1" s="48">
        <v>0</v>
      </c>
      <c r="KL1" s="48">
        <v>0</v>
      </c>
      <c r="KM1" s="48">
        <v>0</v>
      </c>
      <c r="KN1" s="48">
        <v>0</v>
      </c>
      <c r="KO1" s="48">
        <v>0</v>
      </c>
      <c r="KP1" s="48">
        <v>0</v>
      </c>
      <c r="KQ1" s="48">
        <v>0</v>
      </c>
      <c r="KR1" s="48">
        <v>0</v>
      </c>
      <c r="KS1" s="48">
        <v>0</v>
      </c>
      <c r="KT1" s="48">
        <v>0</v>
      </c>
      <c r="KU1" s="48">
        <v>0</v>
      </c>
      <c r="KV1" s="48">
        <v>0</v>
      </c>
      <c r="KW1" s="48">
        <v>0</v>
      </c>
      <c r="KX1" s="48">
        <v>0</v>
      </c>
      <c r="KY1" s="48">
        <v>0</v>
      </c>
      <c r="KZ1" s="48">
        <v>0</v>
      </c>
      <c r="LA1" s="48">
        <v>0</v>
      </c>
      <c r="LB1" s="48">
        <v>0</v>
      </c>
      <c r="LC1" s="48">
        <v>0</v>
      </c>
      <c r="LD1" s="48">
        <v>0</v>
      </c>
      <c r="LE1" s="48">
        <v>0</v>
      </c>
      <c r="LF1" s="48">
        <v>0</v>
      </c>
      <c r="LG1" s="48">
        <v>0</v>
      </c>
      <c r="LH1" s="48">
        <v>0</v>
      </c>
      <c r="LI1" s="48">
        <v>0</v>
      </c>
      <c r="LJ1" s="48">
        <v>0</v>
      </c>
      <c r="LK1" s="48">
        <v>0</v>
      </c>
      <c r="LL1" s="48">
        <v>0</v>
      </c>
      <c r="LM1" s="48">
        <v>0</v>
      </c>
      <c r="LN1" s="48">
        <v>0</v>
      </c>
      <c r="LO1" s="48">
        <v>0</v>
      </c>
      <c r="LP1" s="48">
        <v>0</v>
      </c>
      <c r="LQ1" s="48">
        <v>0</v>
      </c>
      <c r="LR1" s="48">
        <v>0</v>
      </c>
      <c r="LS1" s="48">
        <v>0</v>
      </c>
      <c r="LT1" s="48">
        <v>0</v>
      </c>
      <c r="LU1" s="48">
        <v>0</v>
      </c>
      <c r="LV1" s="48">
        <v>0</v>
      </c>
      <c r="LW1" s="48">
        <v>0</v>
      </c>
      <c r="LX1" s="48">
        <v>0</v>
      </c>
      <c r="LY1" s="48">
        <v>0</v>
      </c>
      <c r="LZ1" s="48">
        <v>0</v>
      </c>
      <c r="MA1" s="48">
        <v>0</v>
      </c>
      <c r="MB1" s="48">
        <v>0</v>
      </c>
      <c r="MC1" s="48">
        <v>0</v>
      </c>
      <c r="MD1" s="48">
        <v>0</v>
      </c>
      <c r="ME1" s="48">
        <v>0</v>
      </c>
      <c r="MF1" s="48">
        <v>0</v>
      </c>
      <c r="MG1" s="48">
        <v>0</v>
      </c>
      <c r="MH1" s="48">
        <v>0</v>
      </c>
      <c r="MI1" s="48">
        <v>0</v>
      </c>
      <c r="MJ1" s="48">
        <v>0</v>
      </c>
      <c r="MK1" s="48">
        <v>0</v>
      </c>
      <c r="ML1" s="48">
        <v>0</v>
      </c>
      <c r="MM1" s="48">
        <v>0</v>
      </c>
      <c r="MN1" s="48">
        <v>0</v>
      </c>
      <c r="MO1" s="48">
        <v>0</v>
      </c>
      <c r="MP1" s="48">
        <v>0</v>
      </c>
      <c r="MQ1" s="48">
        <v>0</v>
      </c>
      <c r="MR1" s="48">
        <v>0</v>
      </c>
      <c r="MS1" s="48">
        <v>0</v>
      </c>
      <c r="MT1" s="48">
        <v>0</v>
      </c>
      <c r="MU1" s="48">
        <v>0</v>
      </c>
      <c r="MV1" s="48">
        <v>0</v>
      </c>
      <c r="MW1" s="48">
        <v>0</v>
      </c>
      <c r="MX1" s="48">
        <v>0</v>
      </c>
      <c r="MY1" s="48">
        <v>0</v>
      </c>
      <c r="MZ1" s="48">
        <v>0</v>
      </c>
      <c r="NA1" s="48">
        <v>0</v>
      </c>
      <c r="NB1" s="48">
        <v>0</v>
      </c>
      <c r="NC1" s="48">
        <v>0</v>
      </c>
      <c r="ND1" s="48">
        <v>0</v>
      </c>
      <c r="NE1" s="48">
        <v>0</v>
      </c>
      <c r="NF1" s="48">
        <v>0</v>
      </c>
      <c r="NG1" s="48">
        <v>0</v>
      </c>
      <c r="NH1" s="48">
        <v>0</v>
      </c>
      <c r="NI1" s="48">
        <v>0</v>
      </c>
      <c r="NJ1" s="48">
        <v>0</v>
      </c>
      <c r="NK1" s="48">
        <v>0</v>
      </c>
      <c r="NL1" s="48">
        <v>0</v>
      </c>
      <c r="NM1" s="48">
        <v>0</v>
      </c>
      <c r="NN1" s="48">
        <v>0</v>
      </c>
      <c r="NO1" s="48">
        <v>0</v>
      </c>
      <c r="NP1" s="48">
        <v>0</v>
      </c>
      <c r="NQ1" s="48">
        <v>0</v>
      </c>
      <c r="NR1" s="48">
        <v>0</v>
      </c>
      <c r="NS1" s="48">
        <v>0</v>
      </c>
      <c r="NT1" s="48">
        <v>0</v>
      </c>
      <c r="NU1" s="48">
        <v>0</v>
      </c>
      <c r="NV1" s="48">
        <v>0</v>
      </c>
      <c r="NW1" s="48">
        <v>0</v>
      </c>
      <c r="NX1" s="48">
        <v>0</v>
      </c>
      <c r="NY1" s="48">
        <v>0</v>
      </c>
      <c r="NZ1" s="48">
        <v>0</v>
      </c>
      <c r="OA1" s="48">
        <v>0</v>
      </c>
      <c r="OB1" s="48">
        <v>0</v>
      </c>
      <c r="OC1" s="48">
        <v>0</v>
      </c>
      <c r="OD1" s="48">
        <v>0</v>
      </c>
      <c r="OE1" s="48">
        <v>0</v>
      </c>
      <c r="OF1" s="48">
        <v>0</v>
      </c>
      <c r="OG1" s="48">
        <v>0</v>
      </c>
      <c r="OH1" s="48">
        <v>0</v>
      </c>
      <c r="OI1" s="48">
        <v>0</v>
      </c>
      <c r="OJ1" s="48">
        <v>0</v>
      </c>
      <c r="OK1" s="48">
        <v>0</v>
      </c>
      <c r="OL1" s="48">
        <v>0</v>
      </c>
      <c r="OM1" s="48">
        <v>0</v>
      </c>
      <c r="ON1" s="48">
        <v>0</v>
      </c>
      <c r="OO1" s="48">
        <v>0</v>
      </c>
      <c r="OP1" s="48">
        <v>0</v>
      </c>
      <c r="OQ1" s="48">
        <v>0</v>
      </c>
      <c r="OR1" s="48">
        <v>0</v>
      </c>
      <c r="OS1" s="48">
        <v>0</v>
      </c>
      <c r="OT1" s="48">
        <v>0</v>
      </c>
      <c r="OU1" s="48">
        <v>0</v>
      </c>
      <c r="OV1" s="48">
        <v>0</v>
      </c>
      <c r="OW1" s="48">
        <v>0</v>
      </c>
      <c r="OX1" s="48">
        <v>0</v>
      </c>
      <c r="OY1" s="48">
        <v>0</v>
      </c>
      <c r="OZ1" s="48">
        <v>0</v>
      </c>
      <c r="PA1" s="48">
        <v>0</v>
      </c>
      <c r="PB1" s="48">
        <v>0</v>
      </c>
      <c r="PC1" s="48">
        <v>0</v>
      </c>
      <c r="PD1" s="48">
        <v>0</v>
      </c>
      <c r="PE1" s="48">
        <v>0</v>
      </c>
      <c r="PF1" s="48">
        <v>0</v>
      </c>
      <c r="PG1" s="48">
        <v>0</v>
      </c>
      <c r="PH1" s="48">
        <v>0</v>
      </c>
      <c r="PI1" s="48">
        <v>0</v>
      </c>
      <c r="PJ1" s="48">
        <v>0</v>
      </c>
      <c r="PK1" s="48">
        <v>0</v>
      </c>
      <c r="PL1" s="48">
        <v>0</v>
      </c>
      <c r="PM1" s="48">
        <v>0</v>
      </c>
      <c r="PN1" s="48">
        <v>0</v>
      </c>
      <c r="PO1" s="48">
        <v>0</v>
      </c>
      <c r="PP1" s="48">
        <v>0</v>
      </c>
      <c r="PQ1" s="48">
        <v>0</v>
      </c>
      <c r="PR1" s="48">
        <v>0</v>
      </c>
      <c r="PS1" s="48">
        <v>0</v>
      </c>
      <c r="PT1" s="48">
        <v>0</v>
      </c>
      <c r="PU1" s="48">
        <v>0</v>
      </c>
      <c r="PV1" s="48">
        <v>0</v>
      </c>
      <c r="PW1" s="48">
        <v>0</v>
      </c>
      <c r="PX1" s="48">
        <v>0</v>
      </c>
      <c r="PY1" s="48">
        <v>0</v>
      </c>
      <c r="PZ1" s="48">
        <v>0</v>
      </c>
      <c r="QA1" s="48">
        <v>0</v>
      </c>
      <c r="QB1" s="48">
        <v>0</v>
      </c>
      <c r="QC1" s="48">
        <v>0</v>
      </c>
      <c r="QD1" s="48">
        <v>0</v>
      </c>
      <c r="QE1" s="48">
        <v>0</v>
      </c>
      <c r="QF1" s="48">
        <v>0</v>
      </c>
      <c r="QG1" s="48">
        <v>0</v>
      </c>
      <c r="QH1" s="48">
        <v>0</v>
      </c>
      <c r="QI1" s="48">
        <v>0</v>
      </c>
      <c r="QJ1" s="48">
        <v>0</v>
      </c>
      <c r="QK1" s="48">
        <v>0</v>
      </c>
      <c r="QL1" s="48">
        <v>0</v>
      </c>
      <c r="QM1" s="48">
        <v>0</v>
      </c>
      <c r="QN1" s="48">
        <v>0</v>
      </c>
      <c r="QO1" s="48">
        <v>0</v>
      </c>
      <c r="QP1" s="48">
        <v>0</v>
      </c>
      <c r="QQ1" s="48">
        <v>0</v>
      </c>
      <c r="QR1" s="48">
        <v>0</v>
      </c>
      <c r="QS1" s="48">
        <v>0</v>
      </c>
      <c r="QT1" s="48">
        <v>0</v>
      </c>
      <c r="QU1" s="48">
        <v>0</v>
      </c>
      <c r="QV1" s="48">
        <v>0</v>
      </c>
      <c r="QW1" s="48">
        <v>0</v>
      </c>
      <c r="QX1" s="48">
        <v>0</v>
      </c>
      <c r="QY1" s="48">
        <v>0</v>
      </c>
      <c r="QZ1" s="48">
        <v>0</v>
      </c>
      <c r="RA1" s="48">
        <v>0</v>
      </c>
      <c r="RB1" s="48">
        <v>0</v>
      </c>
      <c r="RC1" s="48">
        <v>0</v>
      </c>
      <c r="RD1" s="48">
        <v>0</v>
      </c>
      <c r="RE1" s="48">
        <v>0</v>
      </c>
      <c r="RF1" s="48">
        <v>0</v>
      </c>
      <c r="RG1" s="48">
        <v>0</v>
      </c>
      <c r="RH1" s="48">
        <v>0</v>
      </c>
      <c r="RI1" s="48">
        <v>0</v>
      </c>
      <c r="RJ1" s="48">
        <v>0</v>
      </c>
      <c r="RK1" s="48">
        <v>0</v>
      </c>
      <c r="RL1" s="48">
        <v>0</v>
      </c>
      <c r="RM1" s="48">
        <v>0</v>
      </c>
      <c r="RN1" s="48">
        <v>0</v>
      </c>
      <c r="RO1" s="48">
        <v>0</v>
      </c>
      <c r="RP1" s="48">
        <v>0</v>
      </c>
      <c r="RQ1" s="48">
        <v>0</v>
      </c>
      <c r="RR1" s="48">
        <v>0</v>
      </c>
      <c r="RS1" s="48">
        <v>0</v>
      </c>
      <c r="RT1" s="48">
        <v>0</v>
      </c>
      <c r="RU1" s="48">
        <v>0</v>
      </c>
      <c r="RV1" s="48">
        <v>0</v>
      </c>
      <c r="RW1" s="48">
        <v>0</v>
      </c>
      <c r="RX1" s="48">
        <v>0</v>
      </c>
      <c r="RY1" s="48">
        <v>0</v>
      </c>
      <c r="RZ1" s="48">
        <v>0</v>
      </c>
      <c r="SA1" s="48">
        <v>0</v>
      </c>
      <c r="SB1" s="48">
        <v>0</v>
      </c>
      <c r="SC1" s="48">
        <v>0</v>
      </c>
      <c r="SD1" s="48">
        <v>0</v>
      </c>
      <c r="SE1" s="48">
        <v>0</v>
      </c>
      <c r="SF1" s="48">
        <v>0</v>
      </c>
      <c r="SG1" s="48">
        <v>0</v>
      </c>
      <c r="SH1" s="48">
        <v>0</v>
      </c>
      <c r="SI1" s="48">
        <v>0</v>
      </c>
      <c r="SJ1" s="48">
        <v>0</v>
      </c>
      <c r="SK1" s="48">
        <v>0</v>
      </c>
      <c r="SL1" s="48">
        <v>0</v>
      </c>
      <c r="SM1" s="48">
        <v>0</v>
      </c>
      <c r="SN1" s="48">
        <v>0</v>
      </c>
      <c r="SO1" s="48">
        <v>0</v>
      </c>
      <c r="SP1" s="48">
        <v>0</v>
      </c>
      <c r="SQ1" s="48">
        <v>0</v>
      </c>
      <c r="SR1" s="48">
        <v>0</v>
      </c>
      <c r="SS1" s="48">
        <v>0</v>
      </c>
      <c r="ST1" s="48">
        <v>0</v>
      </c>
      <c r="SU1" s="48">
        <v>0</v>
      </c>
      <c r="SV1" s="48">
        <v>0</v>
      </c>
      <c r="SW1" s="48">
        <v>0</v>
      </c>
      <c r="SX1" s="48">
        <v>0</v>
      </c>
      <c r="SY1" s="48">
        <v>0</v>
      </c>
      <c r="SZ1" s="48">
        <v>0</v>
      </c>
      <c r="TA1" s="48">
        <v>0</v>
      </c>
      <c r="TB1" s="48">
        <v>0</v>
      </c>
      <c r="TC1" s="48">
        <v>0</v>
      </c>
      <c r="TD1" s="48">
        <v>0</v>
      </c>
      <c r="TE1" s="48">
        <v>0</v>
      </c>
      <c r="TF1" s="48">
        <v>0</v>
      </c>
      <c r="TG1" s="48">
        <v>0</v>
      </c>
      <c r="TH1" s="48">
        <v>0</v>
      </c>
      <c r="TI1" s="48">
        <v>0</v>
      </c>
      <c r="TJ1" s="48">
        <v>0</v>
      </c>
      <c r="TK1" s="48">
        <v>0</v>
      </c>
      <c r="TL1" s="48">
        <v>0</v>
      </c>
      <c r="TM1" s="48">
        <v>0</v>
      </c>
      <c r="TN1" s="48">
        <v>0</v>
      </c>
      <c r="TO1" s="48">
        <v>0</v>
      </c>
      <c r="TP1" s="48">
        <v>0</v>
      </c>
      <c r="TQ1" s="48">
        <v>0</v>
      </c>
      <c r="TR1" s="48">
        <v>0</v>
      </c>
      <c r="TS1" s="48">
        <v>0</v>
      </c>
      <c r="TT1" s="48">
        <v>0</v>
      </c>
      <c r="TU1" s="48">
        <v>0</v>
      </c>
      <c r="TV1" s="48">
        <v>0</v>
      </c>
      <c r="TW1" s="48">
        <v>0</v>
      </c>
      <c r="TX1" s="48">
        <v>0</v>
      </c>
      <c r="TY1" s="48">
        <v>0</v>
      </c>
      <c r="TZ1" s="48">
        <v>0</v>
      </c>
      <c r="UA1" s="48">
        <v>0</v>
      </c>
      <c r="UB1" s="48">
        <v>0</v>
      </c>
      <c r="UC1" s="48">
        <v>0</v>
      </c>
      <c r="UD1" s="48">
        <v>0</v>
      </c>
      <c r="UE1" s="48">
        <v>0</v>
      </c>
      <c r="UF1" s="48">
        <v>0</v>
      </c>
      <c r="UG1" s="48">
        <v>0</v>
      </c>
      <c r="UH1" s="48">
        <v>0</v>
      </c>
      <c r="UI1" s="48">
        <v>0</v>
      </c>
      <c r="UJ1" s="48">
        <v>0</v>
      </c>
      <c r="UK1" s="48">
        <v>0</v>
      </c>
      <c r="UL1" s="48">
        <v>0</v>
      </c>
      <c r="UM1" s="48">
        <v>0</v>
      </c>
      <c r="UN1" s="48">
        <v>0</v>
      </c>
      <c r="UO1" s="48">
        <v>0</v>
      </c>
      <c r="UP1" s="48">
        <v>0</v>
      </c>
      <c r="UQ1" s="48">
        <v>0</v>
      </c>
      <c r="UR1" s="48">
        <v>0</v>
      </c>
      <c r="US1" s="48">
        <v>0</v>
      </c>
      <c r="UT1" s="48">
        <v>0</v>
      </c>
      <c r="UU1" s="48">
        <v>0</v>
      </c>
      <c r="UV1" s="48">
        <v>0</v>
      </c>
      <c r="UW1" s="48">
        <v>0</v>
      </c>
      <c r="UX1" s="48">
        <v>0</v>
      </c>
      <c r="UY1" s="48">
        <v>0</v>
      </c>
      <c r="UZ1" s="48">
        <v>0</v>
      </c>
      <c r="VA1" s="48">
        <v>0</v>
      </c>
      <c r="VB1" s="48">
        <v>0</v>
      </c>
      <c r="VC1" s="48">
        <v>0</v>
      </c>
      <c r="VD1" s="48">
        <v>0</v>
      </c>
      <c r="VE1" s="48">
        <v>0</v>
      </c>
      <c r="VF1" s="48">
        <v>0</v>
      </c>
      <c r="VG1" s="48">
        <v>0</v>
      </c>
      <c r="VH1" s="48">
        <v>0</v>
      </c>
      <c r="VI1" s="48">
        <v>0</v>
      </c>
      <c r="VJ1" s="48">
        <v>0</v>
      </c>
      <c r="VK1" s="48">
        <v>0</v>
      </c>
      <c r="VL1" s="48">
        <v>0</v>
      </c>
      <c r="VM1" s="48">
        <v>0</v>
      </c>
      <c r="VN1" s="48">
        <v>0</v>
      </c>
      <c r="VO1" s="48">
        <v>0</v>
      </c>
      <c r="VP1" s="48">
        <v>0</v>
      </c>
      <c r="VQ1" s="48">
        <v>0</v>
      </c>
      <c r="VR1" s="48">
        <v>0</v>
      </c>
      <c r="VS1" s="48">
        <v>0</v>
      </c>
      <c r="VT1" s="48">
        <v>0</v>
      </c>
      <c r="VU1" s="48">
        <v>0</v>
      </c>
      <c r="VV1" s="48">
        <v>0</v>
      </c>
      <c r="VW1" s="48">
        <v>0</v>
      </c>
      <c r="VX1" s="48">
        <v>0</v>
      </c>
      <c r="VY1" s="48">
        <v>0</v>
      </c>
      <c r="VZ1" s="48">
        <v>0</v>
      </c>
      <c r="WA1" s="48">
        <v>0</v>
      </c>
      <c r="WB1" s="48">
        <v>0</v>
      </c>
      <c r="WC1" s="48">
        <v>0</v>
      </c>
      <c r="WD1" s="48">
        <v>0</v>
      </c>
      <c r="WE1" s="48">
        <v>0</v>
      </c>
      <c r="WF1" s="48">
        <v>0</v>
      </c>
      <c r="WG1" s="48">
        <v>0</v>
      </c>
      <c r="WH1" s="48">
        <v>0</v>
      </c>
      <c r="WI1" s="48">
        <v>0</v>
      </c>
      <c r="WJ1" s="48">
        <v>0</v>
      </c>
      <c r="WK1" s="48">
        <v>0</v>
      </c>
      <c r="WL1" s="48">
        <v>0</v>
      </c>
      <c r="WM1" s="48">
        <v>0</v>
      </c>
      <c r="WN1" s="48">
        <v>0</v>
      </c>
      <c r="WO1" s="48">
        <v>0</v>
      </c>
      <c r="WP1" s="48">
        <v>0</v>
      </c>
      <c r="WQ1" s="48">
        <v>0</v>
      </c>
      <c r="WR1" s="48">
        <v>0</v>
      </c>
      <c r="WS1" s="48">
        <v>0</v>
      </c>
      <c r="WT1" s="48">
        <v>0</v>
      </c>
      <c r="WU1" s="48">
        <v>0</v>
      </c>
      <c r="WV1" s="48">
        <v>0</v>
      </c>
      <c r="WW1" s="48">
        <v>0</v>
      </c>
      <c r="WX1" s="48">
        <v>0</v>
      </c>
      <c r="WY1" s="48">
        <v>0</v>
      </c>
      <c r="WZ1" s="48">
        <v>0</v>
      </c>
      <c r="XA1" s="48">
        <v>0</v>
      </c>
      <c r="XB1" s="48">
        <v>0</v>
      </c>
      <c r="XC1" s="48">
        <v>0</v>
      </c>
      <c r="XD1" s="48">
        <v>0</v>
      </c>
      <c r="XE1" s="48">
        <v>0</v>
      </c>
      <c r="XF1" s="48">
        <v>0</v>
      </c>
      <c r="XG1" s="48">
        <v>0</v>
      </c>
      <c r="XH1" s="48">
        <v>0</v>
      </c>
      <c r="XI1" s="48">
        <v>0</v>
      </c>
      <c r="XJ1" s="48">
        <v>0</v>
      </c>
      <c r="XK1" s="48">
        <v>0</v>
      </c>
      <c r="XL1" s="48">
        <v>0</v>
      </c>
      <c r="XM1" s="48">
        <v>0</v>
      </c>
      <c r="XN1" s="48">
        <v>0</v>
      </c>
      <c r="XO1" s="48">
        <v>0</v>
      </c>
      <c r="XP1" s="48">
        <v>0</v>
      </c>
      <c r="XQ1" s="48">
        <v>0</v>
      </c>
      <c r="XR1" s="48">
        <v>0</v>
      </c>
      <c r="XS1" s="48">
        <v>0</v>
      </c>
      <c r="XT1" s="48">
        <v>0</v>
      </c>
      <c r="XU1" s="48">
        <v>0</v>
      </c>
      <c r="XV1" s="48">
        <v>0</v>
      </c>
      <c r="XW1" s="48">
        <v>0</v>
      </c>
      <c r="XX1" s="48">
        <v>0</v>
      </c>
      <c r="XY1" s="48">
        <v>0</v>
      </c>
      <c r="XZ1" s="48">
        <v>0</v>
      </c>
      <c r="YA1" s="48">
        <v>0</v>
      </c>
      <c r="YB1" s="48">
        <v>0</v>
      </c>
      <c r="YC1" s="48">
        <v>0</v>
      </c>
      <c r="YD1" s="48">
        <v>0</v>
      </c>
      <c r="YE1" s="48">
        <v>0</v>
      </c>
      <c r="YF1" s="48">
        <v>0</v>
      </c>
      <c r="YG1" s="48">
        <v>0</v>
      </c>
      <c r="YH1" s="48">
        <v>0</v>
      </c>
      <c r="YI1" s="48">
        <v>0</v>
      </c>
      <c r="YJ1" s="48">
        <v>0</v>
      </c>
      <c r="YK1" s="48">
        <v>0</v>
      </c>
      <c r="YL1" s="48">
        <v>0</v>
      </c>
      <c r="YM1" s="48">
        <v>0</v>
      </c>
      <c r="YN1" s="48">
        <v>0</v>
      </c>
      <c r="YO1" s="48">
        <v>0</v>
      </c>
      <c r="YP1" s="48">
        <v>0</v>
      </c>
      <c r="YQ1" s="48">
        <v>0</v>
      </c>
      <c r="YR1" s="48">
        <v>0</v>
      </c>
      <c r="YS1" s="48">
        <v>0</v>
      </c>
      <c r="YT1" s="48">
        <v>0</v>
      </c>
      <c r="YU1" s="48">
        <v>0</v>
      </c>
      <c r="YV1" s="48">
        <v>0</v>
      </c>
      <c r="YW1" s="48">
        <v>0</v>
      </c>
      <c r="YX1" s="48">
        <v>0</v>
      </c>
      <c r="YY1" s="48">
        <v>0</v>
      </c>
      <c r="YZ1" s="48">
        <v>0</v>
      </c>
      <c r="ZA1" s="48">
        <v>0</v>
      </c>
      <c r="ZB1" s="48">
        <v>0</v>
      </c>
      <c r="ZC1" s="48">
        <v>0</v>
      </c>
      <c r="ZD1" s="48">
        <v>0</v>
      </c>
      <c r="ZE1" s="48">
        <v>0</v>
      </c>
      <c r="ZF1" s="48">
        <v>0</v>
      </c>
      <c r="ZG1" s="48">
        <v>0</v>
      </c>
      <c r="ZH1" s="48">
        <v>0</v>
      </c>
      <c r="ZI1" s="48">
        <v>0</v>
      </c>
      <c r="ZJ1" s="48">
        <v>0</v>
      </c>
      <c r="ZK1" s="48">
        <v>0</v>
      </c>
      <c r="ZL1" s="48">
        <v>0</v>
      </c>
      <c r="ZM1" s="48">
        <v>0</v>
      </c>
      <c r="ZN1" s="48">
        <v>0</v>
      </c>
      <c r="ZO1" s="48">
        <v>0</v>
      </c>
      <c r="ZP1" s="48">
        <v>0</v>
      </c>
      <c r="ZQ1" s="48">
        <v>0</v>
      </c>
      <c r="ZR1" s="48">
        <v>0</v>
      </c>
      <c r="ZS1" s="48">
        <v>0</v>
      </c>
      <c r="ZT1" s="48">
        <v>0</v>
      </c>
      <c r="ZU1" s="48">
        <v>0</v>
      </c>
      <c r="ZV1" s="49">
        <v>0</v>
      </c>
      <c r="ZW1" s="49">
        <v>0</v>
      </c>
      <c r="ZX1" s="49">
        <v>0</v>
      </c>
      <c r="ZY1" s="49">
        <v>0</v>
      </c>
    </row>
    <row r="2" spans="1:701" s="50" customFormat="1" ht="42.75" customHeight="1" thickBot="1" x14ac:dyDescent="0.3">
      <c r="A2" s="54" t="s">
        <v>0</v>
      </c>
      <c r="B2" s="50" t="s">
        <v>1</v>
      </c>
      <c r="C2" s="50" t="s">
        <v>37</v>
      </c>
      <c r="D2" s="50" t="s">
        <v>38</v>
      </c>
      <c r="E2" s="50" t="s">
        <v>39</v>
      </c>
      <c r="F2" s="50" t="s">
        <v>40</v>
      </c>
      <c r="G2" s="50" t="s">
        <v>41</v>
      </c>
      <c r="H2" s="50" t="s">
        <v>1233</v>
      </c>
      <c r="I2" s="50" t="s">
        <v>42</v>
      </c>
      <c r="J2" s="50" t="s">
        <v>43</v>
      </c>
      <c r="K2" s="50" t="s">
        <v>44</v>
      </c>
      <c r="L2" s="50" t="s">
        <v>1232</v>
      </c>
      <c r="M2" s="62" t="s">
        <v>1235</v>
      </c>
      <c r="N2" s="75"/>
      <c r="O2" s="75"/>
      <c r="P2" s="75"/>
      <c r="Q2" s="75"/>
      <c r="R2" s="75"/>
      <c r="S2" s="75"/>
      <c r="T2" s="91" t="s">
        <v>1231</v>
      </c>
      <c r="U2" s="53" t="str" cm="1">
        <f t="array" ref="U2:ZY2">TRANSPOSE([1]Links!G$3:G$683)</f>
        <v>A1</v>
      </c>
      <c r="V2" s="50" t="str">
        <v>E2</v>
      </c>
      <c r="W2" s="50" t="str">
        <v>W3</v>
      </c>
      <c r="X2" s="50" t="str">
        <v>A4</v>
      </c>
      <c r="Y2" s="50" t="str">
        <v>I5</v>
      </c>
      <c r="Z2" s="50" t="str">
        <v>K6</v>
      </c>
      <c r="AA2" s="50" t="str">
        <v>T7</v>
      </c>
      <c r="AB2" s="50" t="str">
        <v>F8</v>
      </c>
      <c r="AC2" s="50" t="str">
        <v>S9</v>
      </c>
      <c r="AD2" s="50" t="str">
        <v>A10</v>
      </c>
      <c r="AE2" s="50" t="str">
        <v>G11</v>
      </c>
      <c r="AF2" s="50" t="str">
        <v>M12</v>
      </c>
      <c r="AG2" s="50" t="str">
        <v>G13</v>
      </c>
      <c r="AH2" s="50" t="str">
        <v>H14</v>
      </c>
      <c r="AI2" s="50" t="str">
        <v>A15</v>
      </c>
      <c r="AJ2" s="50" t="str">
        <v>A16</v>
      </c>
      <c r="AK2" s="50" t="str">
        <v>A17</v>
      </c>
      <c r="AL2" s="50" t="str">
        <v>J18-MEP</v>
      </c>
      <c r="AM2" s="50" t="str">
        <v>E19-MEP</v>
      </c>
      <c r="AN2" s="50" t="str">
        <v>E20-MEP</v>
      </c>
      <c r="AO2" s="50" t="str">
        <v>S21-MEP</v>
      </c>
      <c r="AP2" s="50">
        <v>0</v>
      </c>
      <c r="AQ2" s="50" t="str">
        <v>G23-MEP</v>
      </c>
      <c r="AR2" s="50" t="str">
        <v>T24-MEP</v>
      </c>
      <c r="AS2" s="50" t="str">
        <v>F25-MEP</v>
      </c>
      <c r="AT2" s="50" t="str">
        <v>T26-MEP</v>
      </c>
      <c r="AU2" s="50" t="str">
        <v>J27-MEP</v>
      </c>
      <c r="AV2" s="50" t="str">
        <v>A28-MEP</v>
      </c>
      <c r="AW2" s="50" t="str">
        <v>G29</v>
      </c>
      <c r="AX2" s="50" t="str">
        <v>F30</v>
      </c>
      <c r="AY2" s="50" t="str">
        <v>R31-MEP</v>
      </c>
      <c r="AZ2" s="50" t="str">
        <v>M32-B</v>
      </c>
      <c r="BA2" s="50" t="str">
        <v>I33-B</v>
      </c>
      <c r="BB2" s="50" t="str">
        <v>M34-B</v>
      </c>
      <c r="BC2" s="50" t="str">
        <v>K35-B</v>
      </c>
      <c r="BD2" s="50" t="str">
        <v>A36-B</v>
      </c>
      <c r="BE2" s="50" t="str">
        <v>M37-B</v>
      </c>
      <c r="BF2" s="50" t="str">
        <v>M38-MEP</v>
      </c>
      <c r="BG2" s="50">
        <v>0</v>
      </c>
      <c r="BH2" s="50" t="str">
        <v>A40</v>
      </c>
      <c r="BI2" s="50" t="str">
        <v>H41</v>
      </c>
      <c r="BJ2" s="50" t="str">
        <v>M42</v>
      </c>
      <c r="BK2" s="50" t="str">
        <v>A45</v>
      </c>
      <c r="BL2" s="50" t="str">
        <v>A46</v>
      </c>
      <c r="BM2" s="50" t="str">
        <v>G45-Mep</v>
      </c>
      <c r="BN2" s="50" t="str">
        <v>S46-Mep</v>
      </c>
      <c r="BO2" s="50" t="str">
        <v>M47</v>
      </c>
      <c r="BP2" s="50" t="str">
        <v>M48</v>
      </c>
      <c r="BQ2" s="50" t="str">
        <v>M49</v>
      </c>
      <c r="BR2" s="50" t="str">
        <v>k50</v>
      </c>
      <c r="BS2" s="50" t="str">
        <v>M51</v>
      </c>
      <c r="BT2" s="50" t="str">
        <v>E52-B</v>
      </c>
      <c r="BU2" s="50" t="str">
        <v>S53-B</v>
      </c>
      <c r="BV2" s="50" t="str">
        <v>A54</v>
      </c>
      <c r="BW2" s="50" t="str">
        <v>A55</v>
      </c>
      <c r="BX2" s="50" t="str">
        <v>O56-P</v>
      </c>
      <c r="BY2" s="50" t="str">
        <v>E57-P</v>
      </c>
      <c r="BZ2" s="50" t="str">
        <v>F58-P</v>
      </c>
      <c r="CA2" s="50" t="str">
        <v>S59-P</v>
      </c>
      <c r="CB2" s="50" t="str">
        <v>A60-C</v>
      </c>
      <c r="CC2" s="50" t="str">
        <v>S61-Mep</v>
      </c>
      <c r="CD2" s="50" t="str">
        <v>A62-Mep</v>
      </c>
      <c r="CE2" s="50" t="str">
        <v>K63-B</v>
      </c>
      <c r="CF2" s="50" t="str">
        <v>A64</v>
      </c>
      <c r="CG2" s="50" t="str">
        <v>S65</v>
      </c>
      <c r="CH2" s="50" t="str">
        <v>Z66-B</v>
      </c>
      <c r="CI2" s="50" t="str">
        <v>F67-Mep</v>
      </c>
      <c r="CJ2" s="50" t="str">
        <v>A68-B</v>
      </c>
      <c r="CK2" s="50" t="str">
        <v>W69-B</v>
      </c>
      <c r="CL2" s="50" t="str">
        <v>K70-P</v>
      </c>
      <c r="CM2" s="50" t="str">
        <v>R71-P</v>
      </c>
      <c r="CN2" s="50" t="str">
        <v>Y72-PA</v>
      </c>
      <c r="CO2" s="50" t="str">
        <v>A73-MEP</v>
      </c>
      <c r="CP2" s="50" t="str">
        <v>T74-MEP</v>
      </c>
      <c r="CQ2" s="50" t="str">
        <v>M75-MEP</v>
      </c>
      <c r="CR2" s="50" t="str">
        <v>M76-P</v>
      </c>
      <c r="CS2" s="50" t="str">
        <v>E77</v>
      </c>
      <c r="CT2" s="50" t="str">
        <v>T78</v>
      </c>
      <c r="CU2" s="50" t="str">
        <v>E79-MEP</v>
      </c>
      <c r="CV2" s="50">
        <v>0</v>
      </c>
      <c r="CW2" s="50">
        <v>0</v>
      </c>
      <c r="CX2" s="50">
        <v>0</v>
      </c>
      <c r="CY2" s="50">
        <v>0</v>
      </c>
      <c r="CZ2" s="50">
        <v>0</v>
      </c>
      <c r="DA2" s="50">
        <v>0</v>
      </c>
      <c r="DB2" s="50">
        <v>0</v>
      </c>
      <c r="DC2" s="50">
        <v>0</v>
      </c>
      <c r="DD2" s="50">
        <v>0</v>
      </c>
      <c r="DE2" s="50">
        <v>0</v>
      </c>
      <c r="DF2" s="50">
        <v>0</v>
      </c>
      <c r="DG2" s="50">
        <v>0</v>
      </c>
      <c r="DH2" s="50">
        <v>0</v>
      </c>
      <c r="DI2" s="50">
        <v>0</v>
      </c>
      <c r="DJ2" s="50">
        <v>0</v>
      </c>
      <c r="DK2" s="50">
        <v>0</v>
      </c>
      <c r="DL2" s="50">
        <v>0</v>
      </c>
      <c r="DM2" s="50">
        <v>0</v>
      </c>
      <c r="DN2" s="50">
        <v>0</v>
      </c>
      <c r="DO2" s="50">
        <v>0</v>
      </c>
      <c r="DP2" s="50">
        <v>0</v>
      </c>
      <c r="DQ2" s="50">
        <v>0</v>
      </c>
      <c r="DR2" s="50">
        <v>0</v>
      </c>
      <c r="DS2" s="50">
        <v>0</v>
      </c>
      <c r="DT2" s="50">
        <v>0</v>
      </c>
      <c r="DU2" s="50">
        <v>0</v>
      </c>
      <c r="DV2" s="50">
        <v>0</v>
      </c>
      <c r="DW2" s="50">
        <v>0</v>
      </c>
      <c r="DX2" s="50">
        <v>0</v>
      </c>
      <c r="DY2" s="50">
        <v>0</v>
      </c>
      <c r="DZ2" s="50">
        <v>0</v>
      </c>
      <c r="EA2" s="50">
        <v>0</v>
      </c>
      <c r="EB2" s="50">
        <v>0</v>
      </c>
      <c r="EC2" s="50">
        <v>0</v>
      </c>
      <c r="ED2" s="50">
        <v>0</v>
      </c>
      <c r="EE2" s="50">
        <v>0</v>
      </c>
      <c r="EF2" s="50">
        <v>0</v>
      </c>
      <c r="EG2" s="50">
        <v>0</v>
      </c>
      <c r="EH2" s="50">
        <v>0</v>
      </c>
      <c r="EI2" s="50">
        <v>0</v>
      </c>
      <c r="EJ2" s="50">
        <v>0</v>
      </c>
      <c r="EK2" s="50">
        <v>0</v>
      </c>
      <c r="EL2" s="50">
        <v>0</v>
      </c>
      <c r="EM2" s="50">
        <v>0</v>
      </c>
      <c r="EN2" s="50">
        <v>0</v>
      </c>
      <c r="EO2" s="50">
        <v>0</v>
      </c>
      <c r="EP2" s="50">
        <v>0</v>
      </c>
      <c r="EQ2" s="50">
        <v>0</v>
      </c>
      <c r="ER2" s="50">
        <v>0</v>
      </c>
      <c r="ES2" s="50">
        <v>0</v>
      </c>
      <c r="ET2" s="50">
        <v>0</v>
      </c>
      <c r="EU2" s="50">
        <v>0</v>
      </c>
      <c r="EV2" s="50">
        <v>0</v>
      </c>
      <c r="EW2" s="50">
        <v>0</v>
      </c>
      <c r="EX2" s="50">
        <v>0</v>
      </c>
      <c r="EY2" s="50">
        <v>0</v>
      </c>
      <c r="EZ2" s="50">
        <v>0</v>
      </c>
      <c r="FA2" s="50">
        <v>0</v>
      </c>
      <c r="FB2" s="50">
        <v>0</v>
      </c>
      <c r="FC2" s="50">
        <v>0</v>
      </c>
      <c r="FD2" s="50">
        <v>0</v>
      </c>
      <c r="FE2" s="50">
        <v>0</v>
      </c>
      <c r="FF2" s="50">
        <v>0</v>
      </c>
      <c r="FG2" s="50">
        <v>0</v>
      </c>
      <c r="FH2" s="50">
        <v>0</v>
      </c>
      <c r="FI2" s="50">
        <v>0</v>
      </c>
      <c r="FJ2" s="50">
        <v>0</v>
      </c>
      <c r="FK2" s="50">
        <v>0</v>
      </c>
      <c r="FL2" s="50">
        <v>0</v>
      </c>
      <c r="FM2" s="50">
        <v>0</v>
      </c>
      <c r="FN2" s="50">
        <v>0</v>
      </c>
      <c r="FO2" s="50">
        <v>0</v>
      </c>
      <c r="FP2" s="50">
        <v>0</v>
      </c>
      <c r="FQ2" s="50">
        <v>0</v>
      </c>
      <c r="FR2" s="50">
        <v>0</v>
      </c>
      <c r="FS2" s="50">
        <v>0</v>
      </c>
      <c r="FT2" s="50">
        <v>0</v>
      </c>
      <c r="FU2" s="50">
        <v>0</v>
      </c>
      <c r="FV2" s="50">
        <v>0</v>
      </c>
      <c r="FW2" s="50">
        <v>0</v>
      </c>
      <c r="FX2" s="50">
        <v>0</v>
      </c>
      <c r="FY2" s="50">
        <v>0</v>
      </c>
      <c r="FZ2" s="50">
        <v>0</v>
      </c>
      <c r="GA2" s="50">
        <v>0</v>
      </c>
      <c r="GB2" s="50">
        <v>0</v>
      </c>
      <c r="GC2" s="50">
        <v>0</v>
      </c>
      <c r="GD2" s="50">
        <v>0</v>
      </c>
      <c r="GE2" s="50">
        <v>0</v>
      </c>
      <c r="GF2" s="50">
        <v>0</v>
      </c>
      <c r="GG2" s="50">
        <v>0</v>
      </c>
      <c r="GH2" s="50">
        <v>0</v>
      </c>
      <c r="GI2" s="50">
        <v>0</v>
      </c>
      <c r="GJ2" s="50">
        <v>0</v>
      </c>
      <c r="GK2" s="50">
        <v>0</v>
      </c>
      <c r="GL2" s="50">
        <v>0</v>
      </c>
      <c r="GM2" s="50">
        <v>0</v>
      </c>
      <c r="GN2" s="50">
        <v>0</v>
      </c>
      <c r="GO2" s="50">
        <v>0</v>
      </c>
      <c r="GP2" s="50">
        <v>0</v>
      </c>
      <c r="GQ2" s="50">
        <v>0</v>
      </c>
      <c r="GR2" s="50">
        <v>0</v>
      </c>
      <c r="GS2" s="50">
        <v>0</v>
      </c>
      <c r="GT2" s="50">
        <v>0</v>
      </c>
      <c r="GU2" s="50">
        <v>0</v>
      </c>
      <c r="GV2" s="50">
        <v>0</v>
      </c>
      <c r="GW2" s="50">
        <v>0</v>
      </c>
      <c r="GX2" s="50">
        <v>0</v>
      </c>
      <c r="GY2" s="50">
        <v>0</v>
      </c>
      <c r="GZ2" s="50">
        <v>0</v>
      </c>
      <c r="HA2" s="50">
        <v>0</v>
      </c>
      <c r="HB2" s="50">
        <v>0</v>
      </c>
      <c r="HC2" s="50">
        <v>0</v>
      </c>
      <c r="HD2" s="50">
        <v>0</v>
      </c>
      <c r="HE2" s="50">
        <v>0</v>
      </c>
      <c r="HF2" s="50">
        <v>0</v>
      </c>
      <c r="HG2" s="50">
        <v>0</v>
      </c>
      <c r="HH2" s="50">
        <v>0</v>
      </c>
      <c r="HI2" s="50">
        <v>0</v>
      </c>
      <c r="HJ2" s="50">
        <v>0</v>
      </c>
      <c r="HK2" s="50">
        <v>0</v>
      </c>
      <c r="HL2" s="50">
        <v>0</v>
      </c>
      <c r="HM2" s="50">
        <v>0</v>
      </c>
      <c r="HN2" s="50">
        <v>0</v>
      </c>
      <c r="HO2" s="50">
        <v>0</v>
      </c>
      <c r="HP2" s="50">
        <v>0</v>
      </c>
      <c r="HQ2" s="50">
        <v>0</v>
      </c>
      <c r="HR2" s="50">
        <v>0</v>
      </c>
      <c r="HS2" s="50">
        <v>0</v>
      </c>
      <c r="HT2" s="50">
        <v>0</v>
      </c>
      <c r="HU2" s="50">
        <v>0</v>
      </c>
      <c r="HV2" s="50">
        <v>0</v>
      </c>
      <c r="HW2" s="50">
        <v>0</v>
      </c>
      <c r="HX2" s="50">
        <v>0</v>
      </c>
      <c r="HY2" s="50">
        <v>0</v>
      </c>
      <c r="HZ2" s="50">
        <v>0</v>
      </c>
      <c r="IA2" s="50">
        <v>0</v>
      </c>
      <c r="IB2" s="50">
        <v>0</v>
      </c>
      <c r="IC2" s="50">
        <v>0</v>
      </c>
      <c r="ID2" s="50">
        <v>0</v>
      </c>
      <c r="IE2" s="50">
        <v>0</v>
      </c>
      <c r="IF2" s="50">
        <v>0</v>
      </c>
      <c r="IG2" s="50">
        <v>0</v>
      </c>
      <c r="IH2" s="50">
        <v>0</v>
      </c>
      <c r="II2" s="50">
        <v>0</v>
      </c>
      <c r="IJ2" s="50">
        <v>0</v>
      </c>
      <c r="IK2" s="50">
        <v>0</v>
      </c>
      <c r="IL2" s="50">
        <v>0</v>
      </c>
      <c r="IM2" s="50">
        <v>0</v>
      </c>
      <c r="IN2" s="50">
        <v>0</v>
      </c>
      <c r="IO2" s="50">
        <v>0</v>
      </c>
      <c r="IP2" s="50">
        <v>0</v>
      </c>
      <c r="IQ2" s="50">
        <v>0</v>
      </c>
      <c r="IR2" s="50">
        <v>0</v>
      </c>
      <c r="IS2" s="50">
        <v>0</v>
      </c>
      <c r="IT2" s="50">
        <v>0</v>
      </c>
      <c r="IU2" s="50">
        <v>0</v>
      </c>
      <c r="IV2" s="50">
        <v>0</v>
      </c>
      <c r="IW2" s="50">
        <v>0</v>
      </c>
      <c r="IX2" s="50">
        <v>0</v>
      </c>
      <c r="IY2" s="50">
        <v>0</v>
      </c>
      <c r="IZ2" s="50">
        <v>0</v>
      </c>
      <c r="JA2" s="50">
        <v>0</v>
      </c>
      <c r="JB2" s="50">
        <v>0</v>
      </c>
      <c r="JC2" s="50">
        <v>0</v>
      </c>
      <c r="JD2" s="50">
        <v>0</v>
      </c>
      <c r="JE2" s="50">
        <v>0</v>
      </c>
      <c r="JF2" s="50">
        <v>0</v>
      </c>
      <c r="JG2" s="50">
        <v>0</v>
      </c>
      <c r="JH2" s="50">
        <v>0</v>
      </c>
      <c r="JI2" s="50">
        <v>0</v>
      </c>
      <c r="JJ2" s="50">
        <v>0</v>
      </c>
      <c r="JK2" s="50">
        <v>0</v>
      </c>
      <c r="JL2" s="50">
        <v>0</v>
      </c>
      <c r="JM2" s="50">
        <v>0</v>
      </c>
      <c r="JN2" s="50">
        <v>0</v>
      </c>
      <c r="JO2" s="50">
        <v>0</v>
      </c>
      <c r="JP2" s="50">
        <v>0</v>
      </c>
      <c r="JQ2" s="50">
        <v>0</v>
      </c>
      <c r="JR2" s="50">
        <v>0</v>
      </c>
      <c r="JS2" s="50">
        <v>0</v>
      </c>
      <c r="JT2" s="50">
        <v>0</v>
      </c>
      <c r="JU2" s="50">
        <v>0</v>
      </c>
      <c r="JV2" s="50">
        <v>0</v>
      </c>
      <c r="JW2" s="50">
        <v>0</v>
      </c>
      <c r="JX2" s="50">
        <v>0</v>
      </c>
      <c r="JY2" s="50">
        <v>0</v>
      </c>
      <c r="JZ2" s="50">
        <v>0</v>
      </c>
      <c r="KA2" s="50">
        <v>0</v>
      </c>
      <c r="KB2" s="50">
        <v>0</v>
      </c>
      <c r="KC2" s="50">
        <v>0</v>
      </c>
      <c r="KD2" s="50">
        <v>0</v>
      </c>
      <c r="KE2" s="50">
        <v>0</v>
      </c>
      <c r="KF2" s="50">
        <v>0</v>
      </c>
      <c r="KG2" s="50">
        <v>0</v>
      </c>
      <c r="KH2" s="50">
        <v>0</v>
      </c>
      <c r="KI2" s="50">
        <v>0</v>
      </c>
      <c r="KJ2" s="50">
        <v>0</v>
      </c>
      <c r="KK2" s="50">
        <v>0</v>
      </c>
      <c r="KL2" s="50">
        <v>0</v>
      </c>
      <c r="KM2" s="50">
        <v>0</v>
      </c>
      <c r="KN2" s="50">
        <v>0</v>
      </c>
      <c r="KO2" s="50">
        <v>0</v>
      </c>
      <c r="KP2" s="50">
        <v>0</v>
      </c>
      <c r="KQ2" s="50">
        <v>0</v>
      </c>
      <c r="KR2" s="50">
        <v>0</v>
      </c>
      <c r="KS2" s="50">
        <v>0</v>
      </c>
      <c r="KT2" s="50">
        <v>0</v>
      </c>
      <c r="KU2" s="50">
        <v>0</v>
      </c>
      <c r="KV2" s="50">
        <v>0</v>
      </c>
      <c r="KW2" s="50">
        <v>0</v>
      </c>
      <c r="KX2" s="50">
        <v>0</v>
      </c>
      <c r="KY2" s="50">
        <v>0</v>
      </c>
      <c r="KZ2" s="50">
        <v>0</v>
      </c>
      <c r="LA2" s="50">
        <v>0</v>
      </c>
      <c r="LB2" s="50">
        <v>0</v>
      </c>
      <c r="LC2" s="50">
        <v>0</v>
      </c>
      <c r="LD2" s="50">
        <v>0</v>
      </c>
      <c r="LE2" s="50">
        <v>0</v>
      </c>
      <c r="LF2" s="50">
        <v>0</v>
      </c>
      <c r="LG2" s="50">
        <v>0</v>
      </c>
      <c r="LH2" s="50">
        <v>0</v>
      </c>
      <c r="LI2" s="50">
        <v>0</v>
      </c>
      <c r="LJ2" s="50">
        <v>0</v>
      </c>
      <c r="LK2" s="50">
        <v>0</v>
      </c>
      <c r="LL2" s="50">
        <v>0</v>
      </c>
      <c r="LM2" s="50">
        <v>0</v>
      </c>
      <c r="LN2" s="50">
        <v>0</v>
      </c>
      <c r="LO2" s="50">
        <v>0</v>
      </c>
      <c r="LP2" s="50">
        <v>0</v>
      </c>
      <c r="LQ2" s="50">
        <v>0</v>
      </c>
      <c r="LR2" s="50">
        <v>0</v>
      </c>
      <c r="LS2" s="50">
        <v>0</v>
      </c>
      <c r="LT2" s="50">
        <v>0</v>
      </c>
      <c r="LU2" s="50">
        <v>0</v>
      </c>
      <c r="LV2" s="50">
        <v>0</v>
      </c>
      <c r="LW2" s="50">
        <v>0</v>
      </c>
      <c r="LX2" s="50">
        <v>0</v>
      </c>
      <c r="LY2" s="50">
        <v>0</v>
      </c>
      <c r="LZ2" s="50">
        <v>0</v>
      </c>
      <c r="MA2" s="50">
        <v>0</v>
      </c>
      <c r="MB2" s="50">
        <v>0</v>
      </c>
      <c r="MC2" s="50">
        <v>0</v>
      </c>
      <c r="MD2" s="50">
        <v>0</v>
      </c>
      <c r="ME2" s="50">
        <v>0</v>
      </c>
      <c r="MF2" s="50">
        <v>0</v>
      </c>
      <c r="MG2" s="50">
        <v>0</v>
      </c>
      <c r="MH2" s="50">
        <v>0</v>
      </c>
      <c r="MI2" s="50">
        <v>0</v>
      </c>
      <c r="MJ2" s="50">
        <v>0</v>
      </c>
      <c r="MK2" s="50">
        <v>0</v>
      </c>
      <c r="ML2" s="50">
        <v>0</v>
      </c>
      <c r="MM2" s="50">
        <v>0</v>
      </c>
      <c r="MN2" s="50">
        <v>0</v>
      </c>
      <c r="MO2" s="50">
        <v>0</v>
      </c>
      <c r="MP2" s="50">
        <v>0</v>
      </c>
      <c r="MQ2" s="50">
        <v>0</v>
      </c>
      <c r="MR2" s="50">
        <v>0</v>
      </c>
      <c r="MS2" s="50">
        <v>0</v>
      </c>
      <c r="MT2" s="50">
        <v>0</v>
      </c>
      <c r="MU2" s="50">
        <v>0</v>
      </c>
      <c r="MV2" s="50">
        <v>0</v>
      </c>
      <c r="MW2" s="50">
        <v>0</v>
      </c>
      <c r="MX2" s="50">
        <v>0</v>
      </c>
      <c r="MY2" s="50">
        <v>0</v>
      </c>
      <c r="MZ2" s="50">
        <v>0</v>
      </c>
      <c r="NA2" s="50">
        <v>0</v>
      </c>
      <c r="NB2" s="50">
        <v>0</v>
      </c>
      <c r="NC2" s="50">
        <v>0</v>
      </c>
      <c r="ND2" s="50">
        <v>0</v>
      </c>
      <c r="NE2" s="50">
        <v>0</v>
      </c>
      <c r="NF2" s="50">
        <v>0</v>
      </c>
      <c r="NG2" s="50">
        <v>0</v>
      </c>
      <c r="NH2" s="50">
        <v>0</v>
      </c>
      <c r="NI2" s="50">
        <v>0</v>
      </c>
      <c r="NJ2" s="50">
        <v>0</v>
      </c>
      <c r="NK2" s="50">
        <v>0</v>
      </c>
      <c r="NL2" s="50">
        <v>0</v>
      </c>
      <c r="NM2" s="50">
        <v>0</v>
      </c>
      <c r="NN2" s="50">
        <v>0</v>
      </c>
      <c r="NO2" s="50">
        <v>0</v>
      </c>
      <c r="NP2" s="50">
        <v>0</v>
      </c>
      <c r="NQ2" s="50">
        <v>0</v>
      </c>
      <c r="NR2" s="50">
        <v>0</v>
      </c>
      <c r="NS2" s="50">
        <v>0</v>
      </c>
      <c r="NT2" s="50">
        <v>0</v>
      </c>
      <c r="NU2" s="50">
        <v>0</v>
      </c>
      <c r="NV2" s="50">
        <v>0</v>
      </c>
      <c r="NW2" s="50">
        <v>0</v>
      </c>
      <c r="NX2" s="50">
        <v>0</v>
      </c>
      <c r="NY2" s="50">
        <v>0</v>
      </c>
      <c r="NZ2" s="50">
        <v>0</v>
      </c>
      <c r="OA2" s="50">
        <v>0</v>
      </c>
      <c r="OB2" s="50">
        <v>0</v>
      </c>
      <c r="OC2" s="50">
        <v>0</v>
      </c>
      <c r="OD2" s="50">
        <v>0</v>
      </c>
      <c r="OE2" s="50">
        <v>0</v>
      </c>
      <c r="OF2" s="50">
        <v>0</v>
      </c>
      <c r="OG2" s="50">
        <v>0</v>
      </c>
      <c r="OH2" s="50">
        <v>0</v>
      </c>
      <c r="OI2" s="50">
        <v>0</v>
      </c>
      <c r="OJ2" s="50">
        <v>0</v>
      </c>
      <c r="OK2" s="50">
        <v>0</v>
      </c>
      <c r="OL2" s="50">
        <v>0</v>
      </c>
      <c r="OM2" s="50">
        <v>0</v>
      </c>
      <c r="ON2" s="50">
        <v>0</v>
      </c>
      <c r="OO2" s="50">
        <v>0</v>
      </c>
      <c r="OP2" s="50">
        <v>0</v>
      </c>
      <c r="OQ2" s="50">
        <v>0</v>
      </c>
      <c r="OR2" s="50">
        <v>0</v>
      </c>
      <c r="OS2" s="50">
        <v>0</v>
      </c>
      <c r="OT2" s="50">
        <v>0</v>
      </c>
      <c r="OU2" s="50">
        <v>0</v>
      </c>
      <c r="OV2" s="50">
        <v>0</v>
      </c>
      <c r="OW2" s="50">
        <v>0</v>
      </c>
      <c r="OX2" s="50">
        <v>0</v>
      </c>
      <c r="OY2" s="50">
        <v>0</v>
      </c>
      <c r="OZ2" s="50">
        <v>0</v>
      </c>
      <c r="PA2" s="50">
        <v>0</v>
      </c>
      <c r="PB2" s="50">
        <v>0</v>
      </c>
      <c r="PC2" s="50">
        <v>0</v>
      </c>
      <c r="PD2" s="50">
        <v>0</v>
      </c>
      <c r="PE2" s="50">
        <v>0</v>
      </c>
      <c r="PF2" s="50">
        <v>0</v>
      </c>
      <c r="PG2" s="50">
        <v>0</v>
      </c>
      <c r="PH2" s="50">
        <v>0</v>
      </c>
      <c r="PI2" s="50">
        <v>0</v>
      </c>
      <c r="PJ2" s="50">
        <v>0</v>
      </c>
      <c r="PK2" s="50">
        <v>0</v>
      </c>
      <c r="PL2" s="50">
        <v>0</v>
      </c>
      <c r="PM2" s="50">
        <v>0</v>
      </c>
      <c r="PN2" s="50">
        <v>0</v>
      </c>
      <c r="PO2" s="50">
        <v>0</v>
      </c>
      <c r="PP2" s="50">
        <v>0</v>
      </c>
      <c r="PQ2" s="50">
        <v>0</v>
      </c>
      <c r="PR2" s="50">
        <v>0</v>
      </c>
      <c r="PS2" s="50">
        <v>0</v>
      </c>
      <c r="PT2" s="50">
        <v>0</v>
      </c>
      <c r="PU2" s="50">
        <v>0</v>
      </c>
      <c r="PV2" s="50">
        <v>0</v>
      </c>
      <c r="PW2" s="50">
        <v>0</v>
      </c>
      <c r="PX2" s="50">
        <v>0</v>
      </c>
      <c r="PY2" s="50">
        <v>0</v>
      </c>
      <c r="PZ2" s="50">
        <v>0</v>
      </c>
      <c r="QA2" s="50">
        <v>0</v>
      </c>
      <c r="QB2" s="50">
        <v>0</v>
      </c>
      <c r="QC2" s="50">
        <v>0</v>
      </c>
      <c r="QD2" s="50">
        <v>0</v>
      </c>
      <c r="QE2" s="50">
        <v>0</v>
      </c>
      <c r="QF2" s="50">
        <v>0</v>
      </c>
      <c r="QG2" s="50">
        <v>0</v>
      </c>
      <c r="QH2" s="50">
        <v>0</v>
      </c>
      <c r="QI2" s="50">
        <v>0</v>
      </c>
      <c r="QJ2" s="50">
        <v>0</v>
      </c>
      <c r="QK2" s="50">
        <v>0</v>
      </c>
      <c r="QL2" s="50">
        <v>0</v>
      </c>
      <c r="QM2" s="50">
        <v>0</v>
      </c>
      <c r="QN2" s="50">
        <v>0</v>
      </c>
      <c r="QO2" s="50">
        <v>0</v>
      </c>
      <c r="QP2" s="50">
        <v>0</v>
      </c>
      <c r="QQ2" s="50">
        <v>0</v>
      </c>
      <c r="QR2" s="50">
        <v>0</v>
      </c>
      <c r="QS2" s="50">
        <v>0</v>
      </c>
      <c r="QT2" s="50">
        <v>0</v>
      </c>
      <c r="QU2" s="50">
        <v>0</v>
      </c>
      <c r="QV2" s="50">
        <v>0</v>
      </c>
      <c r="QW2" s="50">
        <v>0</v>
      </c>
      <c r="QX2" s="50">
        <v>0</v>
      </c>
      <c r="QY2" s="50">
        <v>0</v>
      </c>
      <c r="QZ2" s="50">
        <v>0</v>
      </c>
      <c r="RA2" s="50">
        <v>0</v>
      </c>
      <c r="RB2" s="50">
        <v>0</v>
      </c>
      <c r="RC2" s="50">
        <v>0</v>
      </c>
      <c r="RD2" s="50">
        <v>0</v>
      </c>
      <c r="RE2" s="50">
        <v>0</v>
      </c>
      <c r="RF2" s="50">
        <v>0</v>
      </c>
      <c r="RG2" s="50">
        <v>0</v>
      </c>
      <c r="RH2" s="50">
        <v>0</v>
      </c>
      <c r="RI2" s="50">
        <v>0</v>
      </c>
      <c r="RJ2" s="50">
        <v>0</v>
      </c>
      <c r="RK2" s="50">
        <v>0</v>
      </c>
      <c r="RL2" s="50">
        <v>0</v>
      </c>
      <c r="RM2" s="50">
        <v>0</v>
      </c>
      <c r="RN2" s="50">
        <v>0</v>
      </c>
      <c r="RO2" s="50">
        <v>0</v>
      </c>
      <c r="RP2" s="50">
        <v>0</v>
      </c>
      <c r="RQ2" s="50">
        <v>0</v>
      </c>
      <c r="RR2" s="50">
        <v>0</v>
      </c>
      <c r="RS2" s="50">
        <v>0</v>
      </c>
      <c r="RT2" s="50">
        <v>0</v>
      </c>
      <c r="RU2" s="50">
        <v>0</v>
      </c>
      <c r="RV2" s="50">
        <v>0</v>
      </c>
      <c r="RW2" s="50">
        <v>0</v>
      </c>
      <c r="RX2" s="50">
        <v>0</v>
      </c>
      <c r="RY2" s="50">
        <v>0</v>
      </c>
      <c r="RZ2" s="50">
        <v>0</v>
      </c>
      <c r="SA2" s="50">
        <v>0</v>
      </c>
      <c r="SB2" s="50">
        <v>0</v>
      </c>
      <c r="SC2" s="50">
        <v>0</v>
      </c>
      <c r="SD2" s="50">
        <v>0</v>
      </c>
      <c r="SE2" s="50">
        <v>0</v>
      </c>
      <c r="SF2" s="50">
        <v>0</v>
      </c>
      <c r="SG2" s="50">
        <v>0</v>
      </c>
      <c r="SH2" s="50">
        <v>0</v>
      </c>
      <c r="SI2" s="50">
        <v>0</v>
      </c>
      <c r="SJ2" s="50">
        <v>0</v>
      </c>
      <c r="SK2" s="50">
        <v>0</v>
      </c>
      <c r="SL2" s="50">
        <v>0</v>
      </c>
      <c r="SM2" s="50">
        <v>0</v>
      </c>
      <c r="SN2" s="50">
        <v>0</v>
      </c>
      <c r="SO2" s="50">
        <v>0</v>
      </c>
      <c r="SP2" s="50">
        <v>0</v>
      </c>
      <c r="SQ2" s="50">
        <v>0</v>
      </c>
      <c r="SR2" s="50">
        <v>0</v>
      </c>
      <c r="SS2" s="50">
        <v>0</v>
      </c>
      <c r="ST2" s="50">
        <v>0</v>
      </c>
      <c r="SU2" s="50">
        <v>0</v>
      </c>
      <c r="SV2" s="50">
        <v>0</v>
      </c>
      <c r="SW2" s="50">
        <v>0</v>
      </c>
      <c r="SX2" s="50">
        <v>0</v>
      </c>
      <c r="SY2" s="50">
        <v>0</v>
      </c>
      <c r="SZ2" s="50">
        <v>0</v>
      </c>
      <c r="TA2" s="50">
        <v>0</v>
      </c>
      <c r="TB2" s="50">
        <v>0</v>
      </c>
      <c r="TC2" s="50">
        <v>0</v>
      </c>
      <c r="TD2" s="50">
        <v>0</v>
      </c>
      <c r="TE2" s="50">
        <v>0</v>
      </c>
      <c r="TF2" s="50">
        <v>0</v>
      </c>
      <c r="TG2" s="50">
        <v>0</v>
      </c>
      <c r="TH2" s="50">
        <v>0</v>
      </c>
      <c r="TI2" s="50">
        <v>0</v>
      </c>
      <c r="TJ2" s="50">
        <v>0</v>
      </c>
      <c r="TK2" s="50">
        <v>0</v>
      </c>
      <c r="TL2" s="50">
        <v>0</v>
      </c>
      <c r="TM2" s="50">
        <v>0</v>
      </c>
      <c r="TN2" s="50">
        <v>0</v>
      </c>
      <c r="TO2" s="50">
        <v>0</v>
      </c>
      <c r="TP2" s="50">
        <v>0</v>
      </c>
      <c r="TQ2" s="50">
        <v>0</v>
      </c>
      <c r="TR2" s="50">
        <v>0</v>
      </c>
      <c r="TS2" s="50">
        <v>0</v>
      </c>
      <c r="TT2" s="50">
        <v>0</v>
      </c>
      <c r="TU2" s="50">
        <v>0</v>
      </c>
      <c r="TV2" s="50">
        <v>0</v>
      </c>
      <c r="TW2" s="50">
        <v>0</v>
      </c>
      <c r="TX2" s="50">
        <v>0</v>
      </c>
      <c r="TY2" s="50">
        <v>0</v>
      </c>
      <c r="TZ2" s="50">
        <v>0</v>
      </c>
      <c r="UA2" s="50">
        <v>0</v>
      </c>
      <c r="UB2" s="50">
        <v>0</v>
      </c>
      <c r="UC2" s="50">
        <v>0</v>
      </c>
      <c r="UD2" s="50">
        <v>0</v>
      </c>
      <c r="UE2" s="50">
        <v>0</v>
      </c>
      <c r="UF2" s="50">
        <v>0</v>
      </c>
      <c r="UG2" s="50">
        <v>0</v>
      </c>
      <c r="UH2" s="50">
        <v>0</v>
      </c>
      <c r="UI2" s="50">
        <v>0</v>
      </c>
      <c r="UJ2" s="50">
        <v>0</v>
      </c>
      <c r="UK2" s="50">
        <v>0</v>
      </c>
      <c r="UL2" s="50">
        <v>0</v>
      </c>
      <c r="UM2" s="50">
        <v>0</v>
      </c>
      <c r="UN2" s="50">
        <v>0</v>
      </c>
      <c r="UO2" s="50">
        <v>0</v>
      </c>
      <c r="UP2" s="50">
        <v>0</v>
      </c>
      <c r="UQ2" s="50">
        <v>0</v>
      </c>
      <c r="UR2" s="50">
        <v>0</v>
      </c>
      <c r="US2" s="50">
        <v>0</v>
      </c>
      <c r="UT2" s="50">
        <v>0</v>
      </c>
      <c r="UU2" s="50">
        <v>0</v>
      </c>
      <c r="UV2" s="50">
        <v>0</v>
      </c>
      <c r="UW2" s="50">
        <v>0</v>
      </c>
      <c r="UX2" s="50">
        <v>0</v>
      </c>
      <c r="UY2" s="50">
        <v>0</v>
      </c>
      <c r="UZ2" s="50">
        <v>0</v>
      </c>
      <c r="VA2" s="50">
        <v>0</v>
      </c>
      <c r="VB2" s="50">
        <v>0</v>
      </c>
      <c r="VC2" s="50">
        <v>0</v>
      </c>
      <c r="VD2" s="50">
        <v>0</v>
      </c>
      <c r="VE2" s="50">
        <v>0</v>
      </c>
      <c r="VF2" s="50">
        <v>0</v>
      </c>
      <c r="VG2" s="50">
        <v>0</v>
      </c>
      <c r="VH2" s="50">
        <v>0</v>
      </c>
      <c r="VI2" s="50">
        <v>0</v>
      </c>
      <c r="VJ2" s="50">
        <v>0</v>
      </c>
      <c r="VK2" s="50">
        <v>0</v>
      </c>
      <c r="VL2" s="50">
        <v>0</v>
      </c>
      <c r="VM2" s="50">
        <v>0</v>
      </c>
      <c r="VN2" s="50">
        <v>0</v>
      </c>
      <c r="VO2" s="50">
        <v>0</v>
      </c>
      <c r="VP2" s="50">
        <v>0</v>
      </c>
      <c r="VQ2" s="50">
        <v>0</v>
      </c>
      <c r="VR2" s="50">
        <v>0</v>
      </c>
      <c r="VS2" s="50">
        <v>0</v>
      </c>
      <c r="VT2" s="50">
        <v>0</v>
      </c>
      <c r="VU2" s="50">
        <v>0</v>
      </c>
      <c r="VV2" s="50">
        <v>0</v>
      </c>
      <c r="VW2" s="50">
        <v>0</v>
      </c>
      <c r="VX2" s="50">
        <v>0</v>
      </c>
      <c r="VY2" s="50">
        <v>0</v>
      </c>
      <c r="VZ2" s="50">
        <v>0</v>
      </c>
      <c r="WA2" s="50">
        <v>0</v>
      </c>
      <c r="WB2" s="50">
        <v>0</v>
      </c>
      <c r="WC2" s="50">
        <v>0</v>
      </c>
      <c r="WD2" s="50">
        <v>0</v>
      </c>
      <c r="WE2" s="50">
        <v>0</v>
      </c>
      <c r="WF2" s="50">
        <v>0</v>
      </c>
      <c r="WG2" s="50">
        <v>0</v>
      </c>
      <c r="WH2" s="50">
        <v>0</v>
      </c>
      <c r="WI2" s="50">
        <v>0</v>
      </c>
      <c r="WJ2" s="50">
        <v>0</v>
      </c>
      <c r="WK2" s="50">
        <v>0</v>
      </c>
      <c r="WL2" s="50">
        <v>0</v>
      </c>
      <c r="WM2" s="50">
        <v>0</v>
      </c>
      <c r="WN2" s="50">
        <v>0</v>
      </c>
      <c r="WO2" s="50">
        <v>0</v>
      </c>
      <c r="WP2" s="50">
        <v>0</v>
      </c>
      <c r="WQ2" s="50">
        <v>0</v>
      </c>
      <c r="WR2" s="50">
        <v>0</v>
      </c>
      <c r="WS2" s="50">
        <v>0</v>
      </c>
      <c r="WT2" s="50">
        <v>0</v>
      </c>
      <c r="WU2" s="50">
        <v>0</v>
      </c>
      <c r="WV2" s="50">
        <v>0</v>
      </c>
      <c r="WW2" s="50">
        <v>0</v>
      </c>
      <c r="WX2" s="50">
        <v>0</v>
      </c>
      <c r="WY2" s="50">
        <v>0</v>
      </c>
      <c r="WZ2" s="50">
        <v>0</v>
      </c>
      <c r="XA2" s="50">
        <v>0</v>
      </c>
      <c r="XB2" s="50">
        <v>0</v>
      </c>
      <c r="XC2" s="50">
        <v>0</v>
      </c>
      <c r="XD2" s="50">
        <v>0</v>
      </c>
      <c r="XE2" s="50">
        <v>0</v>
      </c>
      <c r="XF2" s="50">
        <v>0</v>
      </c>
      <c r="XG2" s="50">
        <v>0</v>
      </c>
      <c r="XH2" s="50">
        <v>0</v>
      </c>
      <c r="XI2" s="50">
        <v>0</v>
      </c>
      <c r="XJ2" s="50">
        <v>0</v>
      </c>
      <c r="XK2" s="50">
        <v>0</v>
      </c>
      <c r="XL2" s="50">
        <v>0</v>
      </c>
      <c r="XM2" s="50">
        <v>0</v>
      </c>
      <c r="XN2" s="50">
        <v>0</v>
      </c>
      <c r="XO2" s="50">
        <v>0</v>
      </c>
      <c r="XP2" s="50">
        <v>0</v>
      </c>
      <c r="XQ2" s="50">
        <v>0</v>
      </c>
      <c r="XR2" s="50">
        <v>0</v>
      </c>
      <c r="XS2" s="50">
        <v>0</v>
      </c>
      <c r="XT2" s="50">
        <v>0</v>
      </c>
      <c r="XU2" s="50">
        <v>0</v>
      </c>
      <c r="XV2" s="50">
        <v>0</v>
      </c>
      <c r="XW2" s="50">
        <v>0</v>
      </c>
      <c r="XX2" s="50">
        <v>0</v>
      </c>
      <c r="XY2" s="50">
        <v>0</v>
      </c>
      <c r="XZ2" s="50">
        <v>0</v>
      </c>
      <c r="YA2" s="50">
        <v>0</v>
      </c>
      <c r="YB2" s="50">
        <v>0</v>
      </c>
      <c r="YC2" s="50">
        <v>0</v>
      </c>
      <c r="YD2" s="50">
        <v>0</v>
      </c>
      <c r="YE2" s="50">
        <v>0</v>
      </c>
      <c r="YF2" s="50">
        <v>0</v>
      </c>
      <c r="YG2" s="50">
        <v>0</v>
      </c>
      <c r="YH2" s="50">
        <v>0</v>
      </c>
      <c r="YI2" s="50">
        <v>0</v>
      </c>
      <c r="YJ2" s="50">
        <v>0</v>
      </c>
      <c r="YK2" s="50">
        <v>0</v>
      </c>
      <c r="YL2" s="50">
        <v>0</v>
      </c>
      <c r="YM2" s="50">
        <v>0</v>
      </c>
      <c r="YN2" s="50">
        <v>0</v>
      </c>
      <c r="YO2" s="50">
        <v>0</v>
      </c>
      <c r="YP2" s="50">
        <v>0</v>
      </c>
      <c r="YQ2" s="50">
        <v>0</v>
      </c>
      <c r="YR2" s="50">
        <v>0</v>
      </c>
      <c r="YS2" s="50">
        <v>0</v>
      </c>
      <c r="YT2" s="50">
        <v>0</v>
      </c>
      <c r="YU2" s="50">
        <v>0</v>
      </c>
      <c r="YV2" s="50">
        <v>0</v>
      </c>
      <c r="YW2" s="50">
        <v>0</v>
      </c>
      <c r="YX2" s="50">
        <v>0</v>
      </c>
      <c r="YY2" s="50">
        <v>0</v>
      </c>
      <c r="YZ2" s="50">
        <v>0</v>
      </c>
      <c r="ZA2" s="50">
        <v>0</v>
      </c>
      <c r="ZB2" s="50">
        <v>0</v>
      </c>
      <c r="ZC2" s="50">
        <v>0</v>
      </c>
      <c r="ZD2" s="50">
        <v>0</v>
      </c>
      <c r="ZE2" s="50">
        <v>0</v>
      </c>
      <c r="ZF2" s="50">
        <v>0</v>
      </c>
      <c r="ZG2" s="50">
        <v>0</v>
      </c>
      <c r="ZH2" s="50">
        <v>0</v>
      </c>
      <c r="ZI2" s="50">
        <v>0</v>
      </c>
      <c r="ZJ2" s="50">
        <v>0</v>
      </c>
      <c r="ZK2" s="50">
        <v>0</v>
      </c>
      <c r="ZL2" s="50">
        <v>0</v>
      </c>
      <c r="ZM2" s="50">
        <v>0</v>
      </c>
      <c r="ZN2" s="50">
        <v>0</v>
      </c>
      <c r="ZO2" s="50">
        <v>0</v>
      </c>
      <c r="ZP2" s="50">
        <v>0</v>
      </c>
      <c r="ZQ2" s="50">
        <v>0</v>
      </c>
      <c r="ZR2" s="50">
        <v>0</v>
      </c>
      <c r="ZS2" s="50">
        <v>0</v>
      </c>
      <c r="ZT2" s="50">
        <v>0</v>
      </c>
      <c r="ZU2" s="50">
        <v>0</v>
      </c>
      <c r="ZV2" s="50">
        <v>0</v>
      </c>
      <c r="ZW2" s="50">
        <v>0</v>
      </c>
      <c r="ZX2" s="50">
        <v>0</v>
      </c>
      <c r="ZY2" s="50">
        <v>0</v>
      </c>
    </row>
    <row r="3" spans="1:701" ht="18.75" x14ac:dyDescent="0.25">
      <c r="A3" s="20" t="s">
        <v>45</v>
      </c>
      <c r="B3" s="20" t="s">
        <v>2</v>
      </c>
      <c r="C3" s="20" t="s">
        <v>46</v>
      </c>
      <c r="D3" s="20" t="s">
        <v>47</v>
      </c>
      <c r="E3" s="20" t="s">
        <v>48</v>
      </c>
      <c r="F3" s="33" t="s">
        <v>49</v>
      </c>
      <c r="G3" s="20" t="s">
        <v>50</v>
      </c>
      <c r="H3" s="20" t="s">
        <v>51</v>
      </c>
      <c r="I3" s="20" t="s">
        <v>722</v>
      </c>
      <c r="J3" s="20" t="s">
        <v>52</v>
      </c>
      <c r="K3" s="20" t="s">
        <v>52</v>
      </c>
      <c r="L3" s="20"/>
      <c r="M3" s="20" t="s">
        <v>1236</v>
      </c>
      <c r="N3" s="76"/>
      <c r="O3" s="79"/>
      <c r="P3" s="79"/>
      <c r="Q3" s="76">
        <f t="shared" ref="Q3:Q34" si="0">IF($H3=0,0,COUNTIF(I:I,I3)-1)</f>
        <v>0</v>
      </c>
      <c r="R3" s="76">
        <f t="shared" ref="R3:R34" si="1">IF($H3=0,0,COUNTIF(J:J,J3)-1)</f>
        <v>0</v>
      </c>
      <c r="S3" s="76">
        <f t="shared" ref="S3:S34" si="2">IF($H3=0,0,COUNTIF(K:K,K3)-1)</f>
        <v>0</v>
      </c>
      <c r="T3" s="56">
        <v>1</v>
      </c>
      <c r="U3" s="16">
        <v>1</v>
      </c>
      <c r="V3" s="16">
        <v>1</v>
      </c>
      <c r="W3" s="16">
        <v>1</v>
      </c>
      <c r="X3" s="16">
        <v>1</v>
      </c>
      <c r="Y3" s="16">
        <v>1</v>
      </c>
      <c r="Z3" s="16">
        <v>1</v>
      </c>
      <c r="AA3" s="16">
        <v>1</v>
      </c>
      <c r="AB3" s="16">
        <v>1</v>
      </c>
      <c r="AC3" s="16">
        <v>1</v>
      </c>
      <c r="AD3" s="16">
        <v>1</v>
      </c>
      <c r="AE3" s="16">
        <v>1</v>
      </c>
      <c r="AF3" s="16">
        <v>1</v>
      </c>
      <c r="AG3" s="16">
        <v>1</v>
      </c>
      <c r="AH3" s="16">
        <v>1</v>
      </c>
      <c r="AI3" s="16">
        <v>1</v>
      </c>
      <c r="AJ3" s="16">
        <v>1</v>
      </c>
      <c r="AK3" s="16">
        <v>1</v>
      </c>
      <c r="AL3" s="16">
        <v>1</v>
      </c>
      <c r="AM3" s="16">
        <v>1</v>
      </c>
      <c r="AN3" s="16">
        <v>1</v>
      </c>
      <c r="AO3" s="16">
        <v>1</v>
      </c>
      <c r="AP3" s="16">
        <v>1</v>
      </c>
      <c r="AQ3" s="16">
        <v>1</v>
      </c>
      <c r="AR3" s="16">
        <v>1</v>
      </c>
      <c r="AS3" s="16">
        <v>1</v>
      </c>
      <c r="AT3" s="16">
        <v>1</v>
      </c>
      <c r="AU3" s="16">
        <v>1</v>
      </c>
      <c r="AV3" s="16">
        <v>1</v>
      </c>
      <c r="AW3" s="16">
        <v>1</v>
      </c>
      <c r="AX3" s="16">
        <v>1</v>
      </c>
      <c r="AY3" s="16">
        <v>1</v>
      </c>
      <c r="AZ3" s="16">
        <v>1</v>
      </c>
      <c r="BA3" s="16">
        <v>1</v>
      </c>
      <c r="BB3" s="16">
        <v>1</v>
      </c>
      <c r="BC3" s="16">
        <v>1</v>
      </c>
      <c r="BD3" s="16">
        <v>1</v>
      </c>
      <c r="BE3" s="16">
        <v>1</v>
      </c>
      <c r="BF3" s="16">
        <v>1</v>
      </c>
      <c r="BG3" s="16">
        <v>1</v>
      </c>
      <c r="BH3" s="16">
        <v>1</v>
      </c>
      <c r="BI3" s="16">
        <v>1</v>
      </c>
      <c r="BJ3" s="16">
        <v>1</v>
      </c>
      <c r="BK3" s="16">
        <v>1</v>
      </c>
      <c r="BL3" s="16">
        <v>1</v>
      </c>
      <c r="BM3" s="16">
        <v>1</v>
      </c>
      <c r="BN3" s="16">
        <v>1</v>
      </c>
      <c r="BO3" s="16">
        <v>1</v>
      </c>
      <c r="BP3" s="16">
        <v>1</v>
      </c>
      <c r="BQ3" s="16">
        <v>1</v>
      </c>
      <c r="BR3" s="16">
        <v>1</v>
      </c>
      <c r="BS3" s="16">
        <v>1</v>
      </c>
      <c r="BT3" s="16">
        <v>1</v>
      </c>
      <c r="BU3" s="16">
        <v>1</v>
      </c>
      <c r="BV3" s="16">
        <v>1</v>
      </c>
      <c r="BW3" s="16">
        <v>1</v>
      </c>
      <c r="BX3" s="16">
        <v>1</v>
      </c>
      <c r="BY3" s="16">
        <v>1</v>
      </c>
      <c r="BZ3" s="16">
        <v>1</v>
      </c>
      <c r="CA3" s="16">
        <v>1</v>
      </c>
      <c r="CB3" s="16">
        <v>1</v>
      </c>
      <c r="CC3" s="16">
        <v>1</v>
      </c>
      <c r="CD3" s="16">
        <v>1</v>
      </c>
      <c r="CE3" s="16">
        <v>1</v>
      </c>
      <c r="CF3" s="16">
        <v>1</v>
      </c>
      <c r="CG3" s="16">
        <v>1</v>
      </c>
      <c r="CH3" s="16">
        <v>1</v>
      </c>
      <c r="CI3" s="16">
        <v>1</v>
      </c>
      <c r="CJ3" s="16">
        <v>1</v>
      </c>
      <c r="CK3" s="16">
        <v>1</v>
      </c>
      <c r="CL3" s="16">
        <v>1</v>
      </c>
      <c r="CM3" s="16">
        <v>1</v>
      </c>
      <c r="CN3" s="16">
        <v>1</v>
      </c>
      <c r="CO3" s="16">
        <v>1</v>
      </c>
      <c r="CP3" s="16">
        <v>1</v>
      </c>
    </row>
    <row r="4" spans="1:701" ht="18.75" x14ac:dyDescent="0.25">
      <c r="A4" s="21" t="s">
        <v>45</v>
      </c>
      <c r="B4" s="21" t="s">
        <v>2</v>
      </c>
      <c r="C4" s="21" t="s">
        <v>46</v>
      </c>
      <c r="D4" s="21" t="s">
        <v>47</v>
      </c>
      <c r="E4" s="21" t="s">
        <v>48</v>
      </c>
      <c r="F4" s="34" t="s">
        <v>49</v>
      </c>
      <c r="G4" s="21" t="s">
        <v>50</v>
      </c>
      <c r="H4" s="21" t="s">
        <v>53</v>
      </c>
      <c r="I4" s="21" t="s">
        <v>723</v>
      </c>
      <c r="J4" s="21" t="s">
        <v>54</v>
      </c>
      <c r="K4" s="21" t="s">
        <v>55</v>
      </c>
      <c r="L4" s="21"/>
      <c r="M4" s="21" t="s">
        <v>1237</v>
      </c>
      <c r="N4" s="77"/>
      <c r="O4" s="80"/>
      <c r="P4" s="80"/>
      <c r="Q4" s="76">
        <f t="shared" si="0"/>
        <v>0</v>
      </c>
      <c r="R4" s="76">
        <f t="shared" si="1"/>
        <v>0</v>
      </c>
      <c r="S4" s="76">
        <f t="shared" si="2"/>
        <v>0</v>
      </c>
      <c r="T4" s="30">
        <v>1</v>
      </c>
      <c r="U4" s="16">
        <v>1</v>
      </c>
      <c r="V4" s="16">
        <v>1</v>
      </c>
      <c r="W4" s="16">
        <v>1</v>
      </c>
      <c r="X4" s="16">
        <v>1</v>
      </c>
      <c r="Y4" s="16">
        <v>1</v>
      </c>
      <c r="Z4" s="16">
        <v>1</v>
      </c>
      <c r="AA4" s="16">
        <v>1</v>
      </c>
      <c r="AB4" s="16">
        <v>1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16">
        <v>1</v>
      </c>
      <c r="AJ4" s="16">
        <v>1</v>
      </c>
      <c r="AK4" s="16">
        <v>1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1</v>
      </c>
      <c r="AT4" s="16">
        <v>1</v>
      </c>
      <c r="AU4" s="16">
        <v>1</v>
      </c>
      <c r="AV4" s="16">
        <v>1</v>
      </c>
      <c r="AW4" s="16">
        <v>1</v>
      </c>
      <c r="AX4" s="16">
        <v>1</v>
      </c>
      <c r="AY4" s="16">
        <v>1</v>
      </c>
      <c r="AZ4" s="16">
        <v>1</v>
      </c>
      <c r="BA4" s="16">
        <v>1</v>
      </c>
      <c r="BB4" s="16">
        <v>1</v>
      </c>
      <c r="BC4" s="16">
        <v>1</v>
      </c>
      <c r="BD4" s="16">
        <v>1</v>
      </c>
      <c r="BE4" s="16">
        <v>1</v>
      </c>
      <c r="BF4" s="16">
        <v>1</v>
      </c>
      <c r="BG4" s="16">
        <v>1</v>
      </c>
      <c r="BH4" s="16">
        <v>1</v>
      </c>
      <c r="BI4" s="16">
        <v>1</v>
      </c>
      <c r="BJ4" s="16">
        <v>1</v>
      </c>
      <c r="BK4" s="16">
        <v>1</v>
      </c>
      <c r="BL4" s="16">
        <v>1</v>
      </c>
      <c r="BM4" s="16">
        <v>1</v>
      </c>
      <c r="BN4" s="16">
        <v>1</v>
      </c>
      <c r="BO4" s="16">
        <v>1</v>
      </c>
      <c r="BP4" s="16">
        <v>1</v>
      </c>
      <c r="BQ4" s="16">
        <v>1</v>
      </c>
      <c r="BR4" s="16">
        <v>1</v>
      </c>
      <c r="BS4" s="16">
        <v>1</v>
      </c>
      <c r="BT4" s="16">
        <v>1</v>
      </c>
      <c r="BU4" s="16">
        <v>1</v>
      </c>
      <c r="BV4" s="16">
        <v>1</v>
      </c>
      <c r="BW4" s="16">
        <v>1</v>
      </c>
      <c r="BX4" s="16">
        <v>1</v>
      </c>
      <c r="BY4" s="16">
        <v>1</v>
      </c>
      <c r="BZ4" s="16">
        <v>1</v>
      </c>
      <c r="CA4" s="16">
        <v>1</v>
      </c>
      <c r="CB4" s="16">
        <v>1</v>
      </c>
      <c r="CC4" s="16">
        <v>1</v>
      </c>
      <c r="CD4" s="16">
        <v>1</v>
      </c>
      <c r="CE4" s="16">
        <v>1</v>
      </c>
      <c r="CF4" s="16">
        <v>1</v>
      </c>
      <c r="CG4" s="16">
        <v>1</v>
      </c>
      <c r="CH4" s="16">
        <v>1</v>
      </c>
      <c r="CI4" s="16">
        <v>1</v>
      </c>
      <c r="CJ4" s="16">
        <v>1</v>
      </c>
      <c r="CK4" s="16">
        <v>1</v>
      </c>
      <c r="CL4" s="16">
        <v>1</v>
      </c>
      <c r="CM4" s="16">
        <v>1</v>
      </c>
      <c r="CN4" s="16">
        <v>1</v>
      </c>
      <c r="CO4" s="16">
        <v>1</v>
      </c>
      <c r="CP4" s="16">
        <v>1</v>
      </c>
    </row>
    <row r="5" spans="1:701" ht="18.75" x14ac:dyDescent="0.25">
      <c r="A5" s="21" t="s">
        <v>45</v>
      </c>
      <c r="B5" s="21" t="s">
        <v>2</v>
      </c>
      <c r="C5" s="21" t="s">
        <v>46</v>
      </c>
      <c r="D5" s="21" t="s">
        <v>47</v>
      </c>
      <c r="E5" s="21" t="s">
        <v>48</v>
      </c>
      <c r="F5" s="34" t="s">
        <v>49</v>
      </c>
      <c r="G5" s="21" t="s">
        <v>50</v>
      </c>
      <c r="H5" s="21" t="s">
        <v>56</v>
      </c>
      <c r="I5" s="21" t="s">
        <v>724</v>
      </c>
      <c r="J5" s="21" t="s">
        <v>57</v>
      </c>
      <c r="K5" s="21" t="s">
        <v>58</v>
      </c>
      <c r="L5" s="21"/>
      <c r="M5" s="21" t="s">
        <v>1238</v>
      </c>
      <c r="N5" s="77"/>
      <c r="O5" s="80"/>
      <c r="P5" s="80"/>
      <c r="Q5" s="76">
        <f t="shared" si="0"/>
        <v>0</v>
      </c>
      <c r="R5" s="76">
        <f t="shared" si="1"/>
        <v>0</v>
      </c>
      <c r="S5" s="76">
        <f t="shared" si="2"/>
        <v>0</v>
      </c>
      <c r="T5" s="30">
        <v>1</v>
      </c>
      <c r="U5" s="16">
        <v>1</v>
      </c>
      <c r="V5" s="16">
        <v>1</v>
      </c>
      <c r="W5" s="16">
        <v>1</v>
      </c>
      <c r="X5" s="16">
        <v>1</v>
      </c>
      <c r="Y5" s="16">
        <v>1</v>
      </c>
      <c r="Z5" s="16">
        <v>1</v>
      </c>
      <c r="AA5" s="16">
        <v>1</v>
      </c>
      <c r="AB5" s="16">
        <v>1</v>
      </c>
      <c r="AC5" s="16">
        <v>1</v>
      </c>
      <c r="AD5" s="16">
        <v>1</v>
      </c>
      <c r="AE5" s="16">
        <v>1</v>
      </c>
      <c r="AF5" s="16">
        <v>1</v>
      </c>
      <c r="AG5" s="16">
        <v>1</v>
      </c>
      <c r="AH5" s="16">
        <v>1</v>
      </c>
      <c r="AI5" s="16">
        <v>1</v>
      </c>
      <c r="AJ5" s="16">
        <v>1</v>
      </c>
      <c r="AK5" s="16">
        <v>1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1</v>
      </c>
      <c r="AT5" s="16">
        <v>1</v>
      </c>
      <c r="AU5" s="16">
        <v>1</v>
      </c>
      <c r="AV5" s="16">
        <v>1</v>
      </c>
      <c r="AW5" s="16">
        <v>1</v>
      </c>
      <c r="AX5" s="16">
        <v>1</v>
      </c>
      <c r="AY5" s="16">
        <v>1</v>
      </c>
      <c r="AZ5" s="16">
        <v>1</v>
      </c>
      <c r="BA5" s="16">
        <v>1</v>
      </c>
      <c r="BB5" s="16">
        <v>1</v>
      </c>
      <c r="BC5" s="16">
        <v>1</v>
      </c>
      <c r="BD5" s="16">
        <v>1</v>
      </c>
      <c r="BE5" s="16">
        <v>1</v>
      </c>
      <c r="BF5" s="16">
        <v>1</v>
      </c>
      <c r="BG5" s="16">
        <v>1</v>
      </c>
      <c r="BH5" s="16">
        <v>1</v>
      </c>
      <c r="BI5" s="16">
        <v>1</v>
      </c>
      <c r="BJ5" s="16">
        <v>1</v>
      </c>
      <c r="BK5" s="16">
        <v>1</v>
      </c>
      <c r="BL5" s="16">
        <v>1</v>
      </c>
      <c r="BM5" s="16">
        <v>1</v>
      </c>
      <c r="BN5" s="16">
        <v>1</v>
      </c>
      <c r="BO5" s="16">
        <v>1</v>
      </c>
      <c r="BP5" s="16">
        <v>1</v>
      </c>
      <c r="BQ5" s="16">
        <v>1</v>
      </c>
      <c r="BR5" s="16">
        <v>1</v>
      </c>
      <c r="BS5" s="16">
        <v>1</v>
      </c>
      <c r="BT5" s="16">
        <v>1</v>
      </c>
      <c r="BU5" s="16">
        <v>1</v>
      </c>
      <c r="BV5" s="16">
        <v>1</v>
      </c>
      <c r="BW5" s="16">
        <v>1</v>
      </c>
      <c r="BX5" s="16">
        <v>1</v>
      </c>
      <c r="BY5" s="16">
        <v>1</v>
      </c>
      <c r="BZ5" s="16">
        <v>1</v>
      </c>
      <c r="CA5" s="16">
        <v>1</v>
      </c>
      <c r="CB5" s="16">
        <v>1</v>
      </c>
      <c r="CC5" s="16">
        <v>1</v>
      </c>
      <c r="CD5" s="16">
        <v>1</v>
      </c>
      <c r="CE5" s="16">
        <v>1</v>
      </c>
      <c r="CF5" s="16">
        <v>1</v>
      </c>
      <c r="CG5" s="16">
        <v>1</v>
      </c>
      <c r="CH5" s="16">
        <v>1</v>
      </c>
      <c r="CI5" s="16">
        <v>1</v>
      </c>
      <c r="CJ5" s="16">
        <v>1</v>
      </c>
      <c r="CK5" s="16">
        <v>1</v>
      </c>
      <c r="CL5" s="16">
        <v>1</v>
      </c>
      <c r="CM5" s="16">
        <v>1</v>
      </c>
      <c r="CN5" s="16">
        <v>1</v>
      </c>
      <c r="CO5" s="16">
        <v>1</v>
      </c>
      <c r="CP5" s="16">
        <v>1</v>
      </c>
    </row>
    <row r="6" spans="1:701" ht="18.75" x14ac:dyDescent="0.25">
      <c r="A6" s="21" t="s">
        <v>45</v>
      </c>
      <c r="B6" s="21" t="s">
        <v>2</v>
      </c>
      <c r="C6" s="21" t="s">
        <v>46</v>
      </c>
      <c r="D6" s="21" t="s">
        <v>47</v>
      </c>
      <c r="E6" s="21" t="s">
        <v>48</v>
      </c>
      <c r="F6" s="34" t="s">
        <v>49</v>
      </c>
      <c r="G6" s="21" t="s">
        <v>50</v>
      </c>
      <c r="H6" s="21" t="s">
        <v>59</v>
      </c>
      <c r="I6" s="21" t="s">
        <v>725</v>
      </c>
      <c r="J6" s="21" t="s">
        <v>60</v>
      </c>
      <c r="K6" s="21" t="s">
        <v>61</v>
      </c>
      <c r="L6" s="21"/>
      <c r="M6" s="21" t="s">
        <v>1239</v>
      </c>
      <c r="N6" s="77"/>
      <c r="O6" s="80"/>
      <c r="P6" s="80"/>
      <c r="Q6" s="76">
        <f t="shared" si="0"/>
        <v>0</v>
      </c>
      <c r="R6" s="76">
        <f t="shared" si="1"/>
        <v>0</v>
      </c>
      <c r="S6" s="76">
        <f t="shared" si="2"/>
        <v>0</v>
      </c>
      <c r="T6" s="30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6">
        <v>1</v>
      </c>
      <c r="AK6" s="16">
        <v>1</v>
      </c>
      <c r="AL6" s="16">
        <v>1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16">
        <v>1</v>
      </c>
      <c r="BO6" s="16">
        <v>1</v>
      </c>
      <c r="BP6" s="16">
        <v>1</v>
      </c>
      <c r="BQ6" s="16">
        <v>1</v>
      </c>
      <c r="BR6" s="16">
        <v>1</v>
      </c>
      <c r="BS6" s="16">
        <v>1</v>
      </c>
      <c r="BT6" s="16">
        <v>1</v>
      </c>
      <c r="BU6" s="16">
        <v>1</v>
      </c>
      <c r="BV6" s="16">
        <v>1</v>
      </c>
      <c r="BW6" s="16">
        <v>1</v>
      </c>
      <c r="BX6" s="16">
        <v>1</v>
      </c>
      <c r="BY6" s="16">
        <v>1</v>
      </c>
      <c r="BZ6" s="16">
        <v>1</v>
      </c>
      <c r="CA6" s="16">
        <v>1</v>
      </c>
      <c r="CB6" s="16">
        <v>1</v>
      </c>
      <c r="CC6" s="16">
        <v>1</v>
      </c>
      <c r="CD6" s="16">
        <v>1</v>
      </c>
      <c r="CE6" s="16">
        <v>1</v>
      </c>
      <c r="CF6" s="16">
        <v>1</v>
      </c>
      <c r="CG6" s="16">
        <v>1</v>
      </c>
      <c r="CH6" s="16">
        <v>1</v>
      </c>
      <c r="CI6" s="16">
        <v>1</v>
      </c>
      <c r="CJ6" s="16">
        <v>1</v>
      </c>
      <c r="CK6" s="16">
        <v>1</v>
      </c>
      <c r="CL6" s="16">
        <v>1</v>
      </c>
      <c r="CM6" s="16">
        <v>1</v>
      </c>
      <c r="CN6" s="16">
        <v>1</v>
      </c>
      <c r="CO6" s="16">
        <v>1</v>
      </c>
      <c r="CP6" s="16">
        <v>1</v>
      </c>
    </row>
    <row r="7" spans="1:701" ht="18.75" x14ac:dyDescent="0.25">
      <c r="A7" s="21" t="s">
        <v>45</v>
      </c>
      <c r="B7" s="21" t="s">
        <v>2</v>
      </c>
      <c r="C7" s="21" t="s">
        <v>46</v>
      </c>
      <c r="D7" s="21" t="s">
        <v>47</v>
      </c>
      <c r="E7" s="21" t="s">
        <v>48</v>
      </c>
      <c r="F7" s="34" t="s">
        <v>49</v>
      </c>
      <c r="G7" s="21" t="s">
        <v>50</v>
      </c>
      <c r="H7" s="21" t="s">
        <v>62</v>
      </c>
      <c r="I7" s="21" t="s">
        <v>726</v>
      </c>
      <c r="J7" s="21" t="s">
        <v>63</v>
      </c>
      <c r="K7" s="21" t="s">
        <v>64</v>
      </c>
      <c r="L7" s="21"/>
      <c r="M7" s="21" t="s">
        <v>1240</v>
      </c>
      <c r="N7" s="77"/>
      <c r="O7" s="80"/>
      <c r="P7" s="80"/>
      <c r="Q7" s="76">
        <f t="shared" si="0"/>
        <v>0</v>
      </c>
      <c r="R7" s="76">
        <f t="shared" si="1"/>
        <v>0</v>
      </c>
      <c r="S7" s="76">
        <f t="shared" si="2"/>
        <v>0</v>
      </c>
      <c r="T7" s="30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6">
        <v>1</v>
      </c>
      <c r="AV7" s="16">
        <v>1</v>
      </c>
      <c r="AW7" s="16">
        <v>1</v>
      </c>
      <c r="AX7" s="16">
        <v>1</v>
      </c>
      <c r="AY7" s="16">
        <v>1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16">
        <v>1</v>
      </c>
      <c r="BO7" s="16">
        <v>1</v>
      </c>
      <c r="BP7" s="16">
        <v>1</v>
      </c>
      <c r="BQ7" s="16">
        <v>1</v>
      </c>
      <c r="BR7" s="16">
        <v>1</v>
      </c>
      <c r="BS7" s="16">
        <v>1</v>
      </c>
      <c r="BT7" s="16">
        <v>1</v>
      </c>
      <c r="BU7" s="16">
        <v>1</v>
      </c>
      <c r="BV7" s="16">
        <v>1</v>
      </c>
      <c r="BW7" s="16">
        <v>1</v>
      </c>
      <c r="BX7" s="16">
        <v>1</v>
      </c>
      <c r="BY7" s="16">
        <v>1</v>
      </c>
      <c r="BZ7" s="16">
        <v>1</v>
      </c>
      <c r="CA7" s="16">
        <v>1</v>
      </c>
      <c r="CB7" s="16">
        <v>1</v>
      </c>
      <c r="CC7" s="16">
        <v>1</v>
      </c>
      <c r="CD7" s="16">
        <v>1</v>
      </c>
      <c r="CE7" s="16">
        <v>1</v>
      </c>
      <c r="CF7" s="16">
        <v>1</v>
      </c>
      <c r="CG7" s="16">
        <v>1</v>
      </c>
      <c r="CH7" s="16">
        <v>1</v>
      </c>
      <c r="CI7" s="16">
        <v>1</v>
      </c>
      <c r="CJ7" s="16">
        <v>1</v>
      </c>
      <c r="CK7" s="16">
        <v>1</v>
      </c>
      <c r="CL7" s="16">
        <v>1</v>
      </c>
      <c r="CM7" s="16">
        <v>1</v>
      </c>
      <c r="CN7" s="16">
        <v>1</v>
      </c>
      <c r="CO7" s="16">
        <v>1</v>
      </c>
      <c r="CP7" s="16">
        <v>1</v>
      </c>
    </row>
    <row r="8" spans="1:701" ht="18.75" x14ac:dyDescent="0.25">
      <c r="A8" s="21" t="s">
        <v>45</v>
      </c>
      <c r="B8" s="21" t="s">
        <v>2</v>
      </c>
      <c r="C8" s="21" t="s">
        <v>46</v>
      </c>
      <c r="D8" s="21" t="s">
        <v>47</v>
      </c>
      <c r="E8" s="21" t="s">
        <v>48</v>
      </c>
      <c r="F8" s="34" t="s">
        <v>49</v>
      </c>
      <c r="G8" s="21" t="s">
        <v>50</v>
      </c>
      <c r="H8" s="21" t="s">
        <v>65</v>
      </c>
      <c r="I8" s="21" t="s">
        <v>727</v>
      </c>
      <c r="J8" s="21" t="s">
        <v>66</v>
      </c>
      <c r="K8" s="21" t="s">
        <v>67</v>
      </c>
      <c r="L8" s="21"/>
      <c r="M8" s="21" t="s">
        <v>1241</v>
      </c>
      <c r="N8" s="77"/>
      <c r="O8" s="80"/>
      <c r="P8" s="80"/>
      <c r="Q8" s="76">
        <f t="shared" si="0"/>
        <v>0</v>
      </c>
      <c r="R8" s="76">
        <f t="shared" si="1"/>
        <v>0</v>
      </c>
      <c r="S8" s="76">
        <f t="shared" si="2"/>
        <v>0</v>
      </c>
      <c r="T8" s="30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16">
        <v>1</v>
      </c>
      <c r="BO8" s="16">
        <v>1</v>
      </c>
      <c r="BP8" s="16">
        <v>1</v>
      </c>
      <c r="BQ8" s="16">
        <v>1</v>
      </c>
      <c r="BR8" s="16">
        <v>1</v>
      </c>
      <c r="BS8" s="16">
        <v>1</v>
      </c>
      <c r="BT8" s="16">
        <v>1</v>
      </c>
      <c r="BU8" s="16">
        <v>1</v>
      </c>
      <c r="BV8" s="16">
        <v>1</v>
      </c>
      <c r="BW8" s="16">
        <v>1</v>
      </c>
      <c r="BX8" s="16">
        <v>1</v>
      </c>
      <c r="BY8" s="16">
        <v>1</v>
      </c>
      <c r="BZ8" s="16">
        <v>1</v>
      </c>
      <c r="CA8" s="16">
        <v>1</v>
      </c>
      <c r="CB8" s="16">
        <v>1</v>
      </c>
      <c r="CC8" s="16">
        <v>1</v>
      </c>
      <c r="CD8" s="16">
        <v>1</v>
      </c>
      <c r="CE8" s="16">
        <v>1</v>
      </c>
      <c r="CF8" s="16">
        <v>1</v>
      </c>
      <c r="CG8" s="16">
        <v>1</v>
      </c>
      <c r="CH8" s="16">
        <v>1</v>
      </c>
      <c r="CI8" s="16">
        <v>1</v>
      </c>
      <c r="CJ8" s="16">
        <v>1</v>
      </c>
      <c r="CK8" s="16">
        <v>1</v>
      </c>
      <c r="CL8" s="16">
        <v>1</v>
      </c>
      <c r="CM8" s="16">
        <v>1</v>
      </c>
      <c r="CN8" s="16">
        <v>1</v>
      </c>
      <c r="CO8" s="16">
        <v>1</v>
      </c>
      <c r="CP8" s="16">
        <v>1</v>
      </c>
    </row>
    <row r="9" spans="1:701" ht="18.75" x14ac:dyDescent="0.25">
      <c r="A9" s="21" t="s">
        <v>51</v>
      </c>
      <c r="B9" s="21" t="s">
        <v>3</v>
      </c>
      <c r="C9" s="21" t="s">
        <v>68</v>
      </c>
      <c r="D9" s="21" t="s">
        <v>69</v>
      </c>
      <c r="E9" s="21" t="s">
        <v>70</v>
      </c>
      <c r="F9" s="34" t="s">
        <v>71</v>
      </c>
      <c r="G9" s="21" t="s">
        <v>72</v>
      </c>
      <c r="H9" s="21" t="s">
        <v>51</v>
      </c>
      <c r="I9" s="21" t="s">
        <v>728</v>
      </c>
      <c r="J9" s="21" t="s">
        <v>73</v>
      </c>
      <c r="K9" s="21" t="s">
        <v>74</v>
      </c>
      <c r="L9" s="21"/>
      <c r="M9" s="21" t="s">
        <v>72</v>
      </c>
      <c r="N9" s="77"/>
      <c r="O9" s="80"/>
      <c r="P9" s="80"/>
      <c r="Q9" s="76">
        <f t="shared" si="0"/>
        <v>0</v>
      </c>
      <c r="R9" s="76">
        <f t="shared" si="1"/>
        <v>0</v>
      </c>
      <c r="S9" s="76">
        <f t="shared" si="2"/>
        <v>0</v>
      </c>
      <c r="T9" s="30">
        <v>80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</row>
    <row r="10" spans="1:701" ht="18.75" x14ac:dyDescent="0.25">
      <c r="A10" s="21" t="s">
        <v>51</v>
      </c>
      <c r="B10" s="21" t="s">
        <v>3</v>
      </c>
      <c r="C10" s="21" t="s">
        <v>46</v>
      </c>
      <c r="D10" s="21" t="s">
        <v>75</v>
      </c>
      <c r="E10" s="21" t="s">
        <v>70</v>
      </c>
      <c r="F10" s="34" t="s">
        <v>76</v>
      </c>
      <c r="G10" s="21" t="s">
        <v>77</v>
      </c>
      <c r="H10" s="21" t="s">
        <v>51</v>
      </c>
      <c r="I10" s="21" t="s">
        <v>729</v>
      </c>
      <c r="J10" s="21" t="s">
        <v>78</v>
      </c>
      <c r="K10" s="21" t="s">
        <v>79</v>
      </c>
      <c r="L10" s="21"/>
      <c r="M10" s="21" t="s">
        <v>51</v>
      </c>
      <c r="N10" s="77"/>
      <c r="O10" s="80"/>
      <c r="P10" s="80"/>
      <c r="Q10" s="76">
        <f t="shared" si="0"/>
        <v>0</v>
      </c>
      <c r="R10" s="76">
        <f t="shared" si="1"/>
        <v>0</v>
      </c>
      <c r="S10" s="76">
        <f t="shared" si="2"/>
        <v>0</v>
      </c>
      <c r="T10" s="30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</row>
    <row r="11" spans="1:701" ht="18.75" x14ac:dyDescent="0.25">
      <c r="A11" s="21" t="s">
        <v>51</v>
      </c>
      <c r="B11" s="21" t="s">
        <v>3</v>
      </c>
      <c r="C11" s="21" t="s">
        <v>46</v>
      </c>
      <c r="D11" s="21" t="s">
        <v>75</v>
      </c>
      <c r="E11" s="21" t="s">
        <v>70</v>
      </c>
      <c r="F11" s="34" t="s">
        <v>76</v>
      </c>
      <c r="G11" s="21" t="s">
        <v>77</v>
      </c>
      <c r="H11" s="21" t="s">
        <v>53</v>
      </c>
      <c r="I11" s="21" t="s">
        <v>730</v>
      </c>
      <c r="J11" s="21" t="s">
        <v>80</v>
      </c>
      <c r="K11" s="21" t="s">
        <v>81</v>
      </c>
      <c r="L11" s="21"/>
      <c r="M11" s="21" t="s">
        <v>51</v>
      </c>
      <c r="N11" s="77"/>
      <c r="O11" s="80"/>
      <c r="P11" s="80"/>
      <c r="Q11" s="76">
        <f t="shared" si="0"/>
        <v>0</v>
      </c>
      <c r="R11" s="76">
        <f t="shared" si="1"/>
        <v>0</v>
      </c>
      <c r="S11" s="76">
        <f t="shared" si="2"/>
        <v>0</v>
      </c>
      <c r="T11" s="30" t="s">
        <v>1230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</row>
    <row r="12" spans="1:701" ht="18.75" x14ac:dyDescent="0.25">
      <c r="A12" s="21" t="s">
        <v>51</v>
      </c>
      <c r="B12" s="21" t="s">
        <v>3</v>
      </c>
      <c r="C12" s="21" t="s">
        <v>46</v>
      </c>
      <c r="D12" s="21" t="s">
        <v>75</v>
      </c>
      <c r="E12" s="21" t="s">
        <v>70</v>
      </c>
      <c r="F12" s="34" t="s">
        <v>76</v>
      </c>
      <c r="G12" s="21" t="s">
        <v>77</v>
      </c>
      <c r="H12" s="21" t="s">
        <v>56</v>
      </c>
      <c r="I12" s="21" t="s">
        <v>731</v>
      </c>
      <c r="J12" s="21" t="s">
        <v>82</v>
      </c>
      <c r="K12" s="21" t="s">
        <v>83</v>
      </c>
      <c r="L12" s="21"/>
      <c r="M12" s="21" t="s">
        <v>51</v>
      </c>
      <c r="N12" s="77"/>
      <c r="O12" s="80"/>
      <c r="P12" s="80"/>
      <c r="Q12" s="76">
        <f t="shared" si="0"/>
        <v>0</v>
      </c>
      <c r="R12" s="76">
        <f t="shared" si="1"/>
        <v>0</v>
      </c>
      <c r="S12" s="76">
        <f t="shared" si="2"/>
        <v>0</v>
      </c>
      <c r="T12" s="30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</row>
    <row r="13" spans="1:701" ht="18.75" x14ac:dyDescent="0.25">
      <c r="A13" s="21" t="s">
        <v>51</v>
      </c>
      <c r="B13" s="21" t="s">
        <v>3</v>
      </c>
      <c r="C13" s="21" t="s">
        <v>46</v>
      </c>
      <c r="D13" s="21" t="s">
        <v>75</v>
      </c>
      <c r="E13" s="21" t="s">
        <v>70</v>
      </c>
      <c r="F13" s="34" t="s">
        <v>76</v>
      </c>
      <c r="G13" s="21" t="s">
        <v>77</v>
      </c>
      <c r="H13" s="21" t="s">
        <v>59</v>
      </c>
      <c r="I13" s="21" t="s">
        <v>732</v>
      </c>
      <c r="J13" s="21" t="s">
        <v>84</v>
      </c>
      <c r="K13" s="21" t="s">
        <v>85</v>
      </c>
      <c r="L13" s="21"/>
      <c r="M13" s="21" t="s">
        <v>51</v>
      </c>
      <c r="N13" s="77"/>
      <c r="O13" s="80"/>
      <c r="P13" s="80"/>
      <c r="Q13" s="76">
        <f t="shared" si="0"/>
        <v>0</v>
      </c>
      <c r="R13" s="76">
        <f t="shared" si="1"/>
        <v>0</v>
      </c>
      <c r="S13" s="76">
        <f t="shared" si="2"/>
        <v>0</v>
      </c>
      <c r="T13" s="30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</row>
    <row r="14" spans="1:701" ht="18.75" x14ac:dyDescent="0.25">
      <c r="A14" s="21" t="s">
        <v>51</v>
      </c>
      <c r="B14" s="21" t="s">
        <v>3</v>
      </c>
      <c r="C14" s="21" t="s">
        <v>46</v>
      </c>
      <c r="D14" s="21" t="s">
        <v>75</v>
      </c>
      <c r="E14" s="21" t="s">
        <v>70</v>
      </c>
      <c r="F14" s="34" t="s">
        <v>76</v>
      </c>
      <c r="G14" s="21" t="s">
        <v>77</v>
      </c>
      <c r="H14" s="21" t="s">
        <v>62</v>
      </c>
      <c r="I14" s="21" t="s">
        <v>733</v>
      </c>
      <c r="J14" s="21" t="s">
        <v>86</v>
      </c>
      <c r="K14" s="21" t="s">
        <v>87</v>
      </c>
      <c r="L14" s="21"/>
      <c r="M14" s="21" t="s">
        <v>51</v>
      </c>
      <c r="N14" s="77"/>
      <c r="O14" s="80"/>
      <c r="P14" s="80"/>
      <c r="Q14" s="76">
        <f t="shared" si="0"/>
        <v>0</v>
      </c>
      <c r="R14" s="76">
        <f t="shared" si="1"/>
        <v>0</v>
      </c>
      <c r="S14" s="76">
        <f t="shared" si="2"/>
        <v>0</v>
      </c>
      <c r="T14" s="30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</row>
    <row r="15" spans="1:701" ht="18.75" x14ac:dyDescent="0.25">
      <c r="A15" s="21" t="s">
        <v>51</v>
      </c>
      <c r="B15" s="21" t="s">
        <v>3</v>
      </c>
      <c r="C15" s="21" t="s">
        <v>46</v>
      </c>
      <c r="D15" s="21" t="s">
        <v>75</v>
      </c>
      <c r="E15" s="21" t="s">
        <v>88</v>
      </c>
      <c r="F15" s="34" t="s">
        <v>89</v>
      </c>
      <c r="G15" s="21" t="s">
        <v>90</v>
      </c>
      <c r="H15" s="21" t="s">
        <v>51</v>
      </c>
      <c r="I15" s="21" t="s">
        <v>734</v>
      </c>
      <c r="J15" s="21" t="s">
        <v>91</v>
      </c>
      <c r="K15" s="21" t="s">
        <v>92</v>
      </c>
      <c r="L15" s="21"/>
      <c r="M15" s="21"/>
      <c r="N15" s="77"/>
      <c r="O15" s="80"/>
      <c r="P15" s="80"/>
      <c r="Q15" s="76">
        <f t="shared" si="0"/>
        <v>0</v>
      </c>
      <c r="R15" s="76">
        <f t="shared" si="1"/>
        <v>0</v>
      </c>
      <c r="S15" s="76">
        <f t="shared" si="2"/>
        <v>0</v>
      </c>
      <c r="T15" s="30">
        <v>20</v>
      </c>
      <c r="U15" s="16">
        <v>0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0</v>
      </c>
      <c r="AD15" s="16">
        <v>0</v>
      </c>
      <c r="AE15" s="16">
        <v>1</v>
      </c>
      <c r="AF15" s="16">
        <v>1</v>
      </c>
      <c r="AG15" s="16">
        <v>1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1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</row>
    <row r="16" spans="1:701" ht="18.75" x14ac:dyDescent="0.25">
      <c r="A16" s="21" t="s">
        <v>51</v>
      </c>
      <c r="B16" s="21" t="s">
        <v>3</v>
      </c>
      <c r="C16" s="21" t="s">
        <v>46</v>
      </c>
      <c r="D16" s="21" t="s">
        <v>75</v>
      </c>
      <c r="E16" s="21" t="s">
        <v>88</v>
      </c>
      <c r="F16" s="34" t="s">
        <v>89</v>
      </c>
      <c r="G16" s="21" t="s">
        <v>90</v>
      </c>
      <c r="H16" s="21" t="s">
        <v>53</v>
      </c>
      <c r="I16" s="21" t="s">
        <v>735</v>
      </c>
      <c r="J16" s="21" t="s">
        <v>93</v>
      </c>
      <c r="K16" s="21" t="s">
        <v>94</v>
      </c>
      <c r="L16" s="21"/>
      <c r="M16" s="21"/>
      <c r="N16" s="77"/>
      <c r="O16" s="80"/>
      <c r="P16" s="80"/>
      <c r="Q16" s="76">
        <f t="shared" si="0"/>
        <v>0</v>
      </c>
      <c r="R16" s="76">
        <f t="shared" si="1"/>
        <v>0</v>
      </c>
      <c r="S16" s="76">
        <f t="shared" si="2"/>
        <v>0</v>
      </c>
      <c r="T16" s="30">
        <v>20</v>
      </c>
      <c r="U16" s="16">
        <v>0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0</v>
      </c>
      <c r="AD16" s="16">
        <v>0</v>
      </c>
      <c r="AE16" s="16">
        <v>1</v>
      </c>
      <c r="AF16" s="16">
        <v>1</v>
      </c>
      <c r="AG16" s="16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1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</row>
    <row r="17" spans="1:94" ht="18.75" x14ac:dyDescent="0.25">
      <c r="A17" s="21" t="s">
        <v>51</v>
      </c>
      <c r="B17" s="21" t="s">
        <v>3</v>
      </c>
      <c r="C17" s="21" t="s">
        <v>46</v>
      </c>
      <c r="D17" s="21" t="s">
        <v>75</v>
      </c>
      <c r="E17" s="21" t="s">
        <v>88</v>
      </c>
      <c r="F17" s="34" t="s">
        <v>89</v>
      </c>
      <c r="G17" s="21" t="s">
        <v>90</v>
      </c>
      <c r="H17" s="21" t="s">
        <v>56</v>
      </c>
      <c r="I17" s="21" t="s">
        <v>736</v>
      </c>
      <c r="J17" s="21" t="s">
        <v>95</v>
      </c>
      <c r="K17" s="21" t="s">
        <v>96</v>
      </c>
      <c r="L17" s="21"/>
      <c r="M17" s="21"/>
      <c r="N17" s="77"/>
      <c r="O17" s="80"/>
      <c r="P17" s="80"/>
      <c r="Q17" s="76">
        <f t="shared" si="0"/>
        <v>0</v>
      </c>
      <c r="R17" s="76">
        <f t="shared" si="1"/>
        <v>0</v>
      </c>
      <c r="S17" s="76">
        <f t="shared" si="2"/>
        <v>0</v>
      </c>
      <c r="T17" s="30">
        <v>10</v>
      </c>
      <c r="U17" s="16">
        <v>0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0</v>
      </c>
      <c r="AD17" s="16">
        <v>0</v>
      </c>
      <c r="AE17" s="16">
        <v>1</v>
      </c>
      <c r="AF17" s="16">
        <v>1</v>
      </c>
      <c r="AG17" s="16">
        <v>1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1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</row>
    <row r="18" spans="1:94" ht="18.75" x14ac:dyDescent="0.25">
      <c r="A18" s="21" t="s">
        <v>51</v>
      </c>
      <c r="B18" s="21" t="s">
        <v>3</v>
      </c>
      <c r="C18" s="21" t="s">
        <v>46</v>
      </c>
      <c r="D18" s="21" t="s">
        <v>75</v>
      </c>
      <c r="E18" s="21" t="s">
        <v>88</v>
      </c>
      <c r="F18" s="34" t="s">
        <v>89</v>
      </c>
      <c r="G18" s="21" t="s">
        <v>90</v>
      </c>
      <c r="H18" s="21" t="s">
        <v>59</v>
      </c>
      <c r="I18" s="21" t="s">
        <v>737</v>
      </c>
      <c r="J18" s="21" t="s">
        <v>97</v>
      </c>
      <c r="K18" s="21" t="s">
        <v>97</v>
      </c>
      <c r="L18" s="21"/>
      <c r="M18" s="21"/>
      <c r="N18" s="77"/>
      <c r="O18" s="80"/>
      <c r="P18" s="80"/>
      <c r="Q18" s="76">
        <f t="shared" si="0"/>
        <v>0</v>
      </c>
      <c r="R18" s="76">
        <f t="shared" si="1"/>
        <v>0</v>
      </c>
      <c r="S18" s="76">
        <f t="shared" si="2"/>
        <v>0</v>
      </c>
      <c r="T18" s="30">
        <v>15</v>
      </c>
      <c r="U18" s="16">
        <v>0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  <c r="AA18" s="16">
        <v>1</v>
      </c>
      <c r="AB18" s="16">
        <v>1</v>
      </c>
      <c r="AC18" s="16">
        <v>0</v>
      </c>
      <c r="AD18" s="16">
        <v>0</v>
      </c>
      <c r="AE18" s="16">
        <v>1</v>
      </c>
      <c r="AF18" s="16">
        <v>1</v>
      </c>
      <c r="AG18" s="16">
        <v>1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</row>
    <row r="19" spans="1:94" ht="18.75" x14ac:dyDescent="0.25">
      <c r="A19" s="21" t="s">
        <v>51</v>
      </c>
      <c r="B19" s="21" t="s">
        <v>3</v>
      </c>
      <c r="C19" s="21" t="s">
        <v>46</v>
      </c>
      <c r="D19" s="21" t="s">
        <v>75</v>
      </c>
      <c r="E19" s="21" t="s">
        <v>88</v>
      </c>
      <c r="F19" s="34" t="s">
        <v>89</v>
      </c>
      <c r="G19" s="21" t="s">
        <v>90</v>
      </c>
      <c r="H19" s="21" t="s">
        <v>62</v>
      </c>
      <c r="I19" s="21" t="s">
        <v>738</v>
      </c>
      <c r="J19" s="21" t="s">
        <v>98</v>
      </c>
      <c r="K19" s="21" t="s">
        <v>99</v>
      </c>
      <c r="L19" s="21"/>
      <c r="M19" s="21"/>
      <c r="N19" s="77"/>
      <c r="O19" s="80"/>
      <c r="P19" s="80"/>
      <c r="Q19" s="76">
        <f t="shared" si="0"/>
        <v>0</v>
      </c>
      <c r="R19" s="76">
        <f t="shared" si="1"/>
        <v>0</v>
      </c>
      <c r="S19" s="76">
        <f t="shared" si="2"/>
        <v>0</v>
      </c>
      <c r="T19" s="30">
        <v>35</v>
      </c>
      <c r="U19" s="16">
        <v>0</v>
      </c>
      <c r="V19" s="16">
        <v>1</v>
      </c>
      <c r="W19" s="16">
        <v>1</v>
      </c>
      <c r="X19" s="16">
        <v>1</v>
      </c>
      <c r="Y19" s="16">
        <v>1</v>
      </c>
      <c r="Z19" s="16">
        <v>1</v>
      </c>
      <c r="AA19" s="16">
        <v>1</v>
      </c>
      <c r="AB19" s="16">
        <v>1</v>
      </c>
      <c r="AC19" s="16">
        <v>0</v>
      </c>
      <c r="AD19" s="16">
        <v>0</v>
      </c>
      <c r="AE19" s="16">
        <v>1</v>
      </c>
      <c r="AF19" s="16">
        <v>1</v>
      </c>
      <c r="AG19" s="16">
        <v>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1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</row>
    <row r="20" spans="1:94" ht="18.75" x14ac:dyDescent="0.25">
      <c r="A20" s="21" t="s">
        <v>51</v>
      </c>
      <c r="B20" s="21" t="s">
        <v>3</v>
      </c>
      <c r="C20" s="21" t="s">
        <v>46</v>
      </c>
      <c r="D20" s="21" t="s">
        <v>75</v>
      </c>
      <c r="E20" s="21" t="s">
        <v>88</v>
      </c>
      <c r="F20" s="34" t="s">
        <v>89</v>
      </c>
      <c r="G20" s="21" t="s">
        <v>90</v>
      </c>
      <c r="H20" s="21" t="s">
        <v>100</v>
      </c>
      <c r="I20" s="21" t="s">
        <v>739</v>
      </c>
      <c r="J20" s="21" t="s">
        <v>101</v>
      </c>
      <c r="K20" s="21" t="s">
        <v>102</v>
      </c>
      <c r="L20" s="21"/>
      <c r="M20" s="21"/>
      <c r="N20" s="77"/>
      <c r="O20" s="80"/>
      <c r="P20" s="80"/>
      <c r="Q20" s="76">
        <f t="shared" si="0"/>
        <v>0</v>
      </c>
      <c r="R20" s="76">
        <f t="shared" si="1"/>
        <v>0</v>
      </c>
      <c r="S20" s="76">
        <f t="shared" si="2"/>
        <v>0</v>
      </c>
      <c r="T20" s="30">
        <v>3</v>
      </c>
      <c r="U20" s="16">
        <v>0</v>
      </c>
      <c r="V20" s="16">
        <v>1</v>
      </c>
      <c r="W20" s="16">
        <v>1</v>
      </c>
      <c r="X20" s="16">
        <v>1</v>
      </c>
      <c r="Y20" s="16">
        <v>1</v>
      </c>
      <c r="Z20" s="16">
        <v>1</v>
      </c>
      <c r="AA20" s="16">
        <v>1</v>
      </c>
      <c r="AB20" s="16">
        <v>1</v>
      </c>
      <c r="AC20" s="16">
        <v>0</v>
      </c>
      <c r="AD20" s="16">
        <v>0</v>
      </c>
      <c r="AE20" s="16">
        <v>1</v>
      </c>
      <c r="AF20" s="16">
        <v>1</v>
      </c>
      <c r="AG20" s="16">
        <v>1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1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</row>
    <row r="21" spans="1:94" ht="18.75" x14ac:dyDescent="0.25">
      <c r="A21" s="21" t="s">
        <v>51</v>
      </c>
      <c r="B21" s="21" t="s">
        <v>3</v>
      </c>
      <c r="C21" s="21" t="s">
        <v>46</v>
      </c>
      <c r="D21" s="21" t="s">
        <v>75</v>
      </c>
      <c r="E21" s="21" t="s">
        <v>88</v>
      </c>
      <c r="F21" s="34" t="s">
        <v>89</v>
      </c>
      <c r="G21" s="21" t="s">
        <v>90</v>
      </c>
      <c r="H21" s="21" t="s">
        <v>103</v>
      </c>
      <c r="I21" s="21" t="s">
        <v>740</v>
      </c>
      <c r="J21" s="21" t="s">
        <v>104</v>
      </c>
      <c r="K21" s="21" t="s">
        <v>105</v>
      </c>
      <c r="L21" s="21"/>
      <c r="M21" s="21"/>
      <c r="N21" s="77"/>
      <c r="O21" s="80"/>
      <c r="P21" s="80"/>
      <c r="Q21" s="76">
        <f t="shared" si="0"/>
        <v>0</v>
      </c>
      <c r="R21" s="76">
        <f t="shared" si="1"/>
        <v>0</v>
      </c>
      <c r="S21" s="76">
        <f t="shared" si="2"/>
        <v>0</v>
      </c>
      <c r="T21" s="30">
        <v>4</v>
      </c>
      <c r="U21" s="16">
        <v>0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  <c r="AA21" s="16">
        <v>1</v>
      </c>
      <c r="AB21" s="16">
        <v>1</v>
      </c>
      <c r="AC21" s="16">
        <v>0</v>
      </c>
      <c r="AD21" s="16">
        <v>0</v>
      </c>
      <c r="AE21" s="16">
        <v>1</v>
      </c>
      <c r="AF21" s="16">
        <v>1</v>
      </c>
      <c r="AG21" s="16">
        <v>1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1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</row>
    <row r="22" spans="1:94" ht="18.75" x14ac:dyDescent="0.25">
      <c r="A22" s="21" t="s">
        <v>51</v>
      </c>
      <c r="B22" s="21" t="s">
        <v>3</v>
      </c>
      <c r="C22" s="21" t="s">
        <v>46</v>
      </c>
      <c r="D22" s="21" t="s">
        <v>75</v>
      </c>
      <c r="E22" s="21" t="s">
        <v>88</v>
      </c>
      <c r="F22" s="34" t="s">
        <v>89</v>
      </c>
      <c r="G22" s="21" t="s">
        <v>90</v>
      </c>
      <c r="H22" s="21" t="s">
        <v>106</v>
      </c>
      <c r="I22" s="21" t="s">
        <v>741</v>
      </c>
      <c r="J22" s="21" t="s">
        <v>107</v>
      </c>
      <c r="K22" s="21" t="s">
        <v>108</v>
      </c>
      <c r="L22" s="21"/>
      <c r="M22" s="21"/>
      <c r="N22" s="77"/>
      <c r="O22" s="80"/>
      <c r="P22" s="80"/>
      <c r="Q22" s="76">
        <f t="shared" si="0"/>
        <v>0</v>
      </c>
      <c r="R22" s="76">
        <f t="shared" si="1"/>
        <v>0</v>
      </c>
      <c r="S22" s="76">
        <f t="shared" si="2"/>
        <v>0</v>
      </c>
      <c r="T22" s="30">
        <v>23</v>
      </c>
      <c r="U22" s="16">
        <v>0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  <c r="AA22" s="16">
        <v>1</v>
      </c>
      <c r="AB22" s="16">
        <v>1</v>
      </c>
      <c r="AC22" s="16">
        <v>0</v>
      </c>
      <c r="AD22" s="16">
        <v>0</v>
      </c>
      <c r="AE22" s="16">
        <v>1</v>
      </c>
      <c r="AF22" s="16">
        <v>1</v>
      </c>
      <c r="AG22" s="16">
        <v>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1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</row>
    <row r="23" spans="1:94" ht="18.75" x14ac:dyDescent="0.25">
      <c r="A23" s="21" t="s">
        <v>51</v>
      </c>
      <c r="B23" s="21" t="s">
        <v>3</v>
      </c>
      <c r="C23" s="21" t="s">
        <v>46</v>
      </c>
      <c r="D23" s="21" t="s">
        <v>75</v>
      </c>
      <c r="E23" s="21" t="s">
        <v>88</v>
      </c>
      <c r="F23" s="34" t="s">
        <v>89</v>
      </c>
      <c r="G23" s="21" t="s">
        <v>90</v>
      </c>
      <c r="H23" s="21" t="s">
        <v>109</v>
      </c>
      <c r="I23" s="21" t="s">
        <v>742</v>
      </c>
      <c r="J23" s="21" t="s">
        <v>110</v>
      </c>
      <c r="K23" s="21" t="s">
        <v>111</v>
      </c>
      <c r="L23" s="21"/>
      <c r="M23" s="21"/>
      <c r="N23" s="77"/>
      <c r="O23" s="80"/>
      <c r="P23" s="80"/>
      <c r="Q23" s="76">
        <f t="shared" si="0"/>
        <v>0</v>
      </c>
      <c r="R23" s="76">
        <f t="shared" si="1"/>
        <v>0</v>
      </c>
      <c r="S23" s="76">
        <f t="shared" si="2"/>
        <v>0</v>
      </c>
      <c r="T23" s="30">
        <v>150</v>
      </c>
      <c r="U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</row>
    <row r="24" spans="1:94" ht="18.75" x14ac:dyDescent="0.25">
      <c r="A24" s="21" t="s">
        <v>56</v>
      </c>
      <c r="B24" s="21" t="s">
        <v>5</v>
      </c>
      <c r="C24" s="21" t="s">
        <v>62</v>
      </c>
      <c r="D24" s="21" t="s">
        <v>112</v>
      </c>
      <c r="E24" s="21" t="s">
        <v>70</v>
      </c>
      <c r="F24" s="34" t="s">
        <v>113</v>
      </c>
      <c r="G24" s="21" t="s">
        <v>114</v>
      </c>
      <c r="H24" s="21" t="s">
        <v>51</v>
      </c>
      <c r="I24" s="21" t="s">
        <v>743</v>
      </c>
      <c r="J24" s="21" t="s">
        <v>115</v>
      </c>
      <c r="K24" s="21" t="s">
        <v>116</v>
      </c>
      <c r="L24" s="21" t="s">
        <v>1246</v>
      </c>
      <c r="M24" s="21"/>
      <c r="N24" s="77"/>
      <c r="O24" s="80"/>
      <c r="P24" s="80"/>
      <c r="Q24" s="76">
        <f t="shared" si="0"/>
        <v>0</v>
      </c>
      <c r="R24" s="76">
        <f t="shared" si="1"/>
        <v>0</v>
      </c>
      <c r="S24" s="76">
        <f t="shared" si="2"/>
        <v>0</v>
      </c>
      <c r="T24" s="30">
        <v>12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</row>
    <row r="25" spans="1:94" ht="18.75" x14ac:dyDescent="0.25">
      <c r="A25" s="21" t="s">
        <v>56</v>
      </c>
      <c r="B25" s="21" t="s">
        <v>5</v>
      </c>
      <c r="C25" s="21" t="s">
        <v>62</v>
      </c>
      <c r="D25" s="21" t="s">
        <v>112</v>
      </c>
      <c r="E25" s="21" t="s">
        <v>70</v>
      </c>
      <c r="F25" s="34" t="s">
        <v>113</v>
      </c>
      <c r="G25" s="21" t="s">
        <v>114</v>
      </c>
      <c r="H25" s="21" t="s">
        <v>53</v>
      </c>
      <c r="I25" s="21" t="s">
        <v>744</v>
      </c>
      <c r="J25" s="21" t="s">
        <v>117</v>
      </c>
      <c r="K25" s="21" t="s">
        <v>118</v>
      </c>
      <c r="L25" s="21" t="s">
        <v>1246</v>
      </c>
      <c r="M25" s="21"/>
      <c r="N25" s="77"/>
      <c r="O25" s="80"/>
      <c r="P25" s="80"/>
      <c r="Q25" s="76">
        <f t="shared" si="0"/>
        <v>0</v>
      </c>
      <c r="R25" s="76">
        <f t="shared" si="1"/>
        <v>0</v>
      </c>
      <c r="S25" s="76">
        <f t="shared" si="2"/>
        <v>0</v>
      </c>
      <c r="T25" s="30">
        <v>12.5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</row>
    <row r="26" spans="1:94" ht="18.75" x14ac:dyDescent="0.25">
      <c r="A26" s="21" t="s">
        <v>56</v>
      </c>
      <c r="B26" s="21" t="s">
        <v>5</v>
      </c>
      <c r="C26" s="21" t="s">
        <v>62</v>
      </c>
      <c r="D26" s="21" t="s">
        <v>112</v>
      </c>
      <c r="E26" s="21" t="s">
        <v>70</v>
      </c>
      <c r="F26" s="34" t="s">
        <v>113</v>
      </c>
      <c r="G26" s="21" t="s">
        <v>114</v>
      </c>
      <c r="H26" s="21" t="s">
        <v>56</v>
      </c>
      <c r="I26" s="21" t="s">
        <v>745</v>
      </c>
      <c r="J26" s="21" t="s">
        <v>119</v>
      </c>
      <c r="K26" s="21" t="s">
        <v>120</v>
      </c>
      <c r="L26" s="21" t="s">
        <v>1246</v>
      </c>
      <c r="M26" s="21"/>
      <c r="N26" s="77"/>
      <c r="O26" s="80"/>
      <c r="P26" s="80"/>
      <c r="Q26" s="76">
        <f t="shared" si="0"/>
        <v>0</v>
      </c>
      <c r="R26" s="76">
        <f t="shared" si="1"/>
        <v>0</v>
      </c>
      <c r="S26" s="76">
        <f t="shared" si="2"/>
        <v>0</v>
      </c>
      <c r="T26" s="30">
        <v>11.5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</row>
    <row r="27" spans="1:94" ht="18.75" x14ac:dyDescent="0.25">
      <c r="A27" s="21" t="s">
        <v>56</v>
      </c>
      <c r="B27" s="21" t="s">
        <v>5</v>
      </c>
      <c r="C27" s="21" t="s">
        <v>62</v>
      </c>
      <c r="D27" s="21" t="s">
        <v>112</v>
      </c>
      <c r="E27" s="21" t="s">
        <v>70</v>
      </c>
      <c r="F27" s="34" t="s">
        <v>113</v>
      </c>
      <c r="G27" s="21" t="s">
        <v>114</v>
      </c>
      <c r="H27" s="21" t="s">
        <v>59</v>
      </c>
      <c r="I27" s="21" t="s">
        <v>746</v>
      </c>
      <c r="J27" s="21" t="s">
        <v>121</v>
      </c>
      <c r="K27" s="21" t="s">
        <v>122</v>
      </c>
      <c r="L27" s="21" t="s">
        <v>1246</v>
      </c>
      <c r="M27" s="21"/>
      <c r="N27" s="77"/>
      <c r="O27" s="80"/>
      <c r="P27" s="80"/>
      <c r="Q27" s="76">
        <f t="shared" si="0"/>
        <v>0</v>
      </c>
      <c r="R27" s="76">
        <f t="shared" si="1"/>
        <v>0</v>
      </c>
      <c r="S27" s="76">
        <f t="shared" si="2"/>
        <v>0</v>
      </c>
      <c r="T27" s="30">
        <v>11.75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</row>
    <row r="28" spans="1:94" ht="18.75" x14ac:dyDescent="0.25">
      <c r="A28" s="21" t="s">
        <v>56</v>
      </c>
      <c r="B28" s="21" t="s">
        <v>5</v>
      </c>
      <c r="C28" s="21" t="s">
        <v>109</v>
      </c>
      <c r="D28" s="21" t="s">
        <v>123</v>
      </c>
      <c r="E28" s="21" t="s">
        <v>70</v>
      </c>
      <c r="F28" s="34" t="s">
        <v>124</v>
      </c>
      <c r="G28" s="21" t="s">
        <v>125</v>
      </c>
      <c r="H28" s="21" t="s">
        <v>51</v>
      </c>
      <c r="I28" s="21" t="s">
        <v>747</v>
      </c>
      <c r="J28" s="21" t="s">
        <v>748</v>
      </c>
      <c r="K28" s="21" t="s">
        <v>126</v>
      </c>
      <c r="L28" s="21" t="s">
        <v>1245</v>
      </c>
      <c r="M28" s="21"/>
      <c r="N28" s="77"/>
      <c r="O28" s="80"/>
      <c r="P28" s="80"/>
      <c r="Q28" s="76">
        <f t="shared" si="0"/>
        <v>0</v>
      </c>
      <c r="R28" s="76">
        <f t="shared" si="1"/>
        <v>0</v>
      </c>
      <c r="S28" s="76">
        <f t="shared" si="2"/>
        <v>0</v>
      </c>
      <c r="T28" s="30">
        <v>100</v>
      </c>
      <c r="U28" s="16">
        <v>0</v>
      </c>
      <c r="V28" s="16">
        <v>1</v>
      </c>
      <c r="W28" s="16">
        <v>1</v>
      </c>
      <c r="X28" s="16">
        <v>1</v>
      </c>
      <c r="Y28" s="16">
        <v>0</v>
      </c>
      <c r="Z28" s="16">
        <v>1</v>
      </c>
      <c r="AA28" s="16">
        <v>1</v>
      </c>
      <c r="AB28" s="16">
        <v>1</v>
      </c>
      <c r="AC28" s="16">
        <v>0</v>
      </c>
      <c r="AD28" s="16">
        <v>0</v>
      </c>
      <c r="AE28" s="16">
        <v>1</v>
      </c>
      <c r="AF28" s="16">
        <v>1</v>
      </c>
      <c r="AG28" s="16">
        <v>1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</row>
    <row r="29" spans="1:94" ht="18.75" x14ac:dyDescent="0.25">
      <c r="A29" s="21" t="s">
        <v>56</v>
      </c>
      <c r="B29" s="21" t="s">
        <v>5</v>
      </c>
      <c r="C29" s="21" t="s">
        <v>109</v>
      </c>
      <c r="D29" s="21" t="s">
        <v>123</v>
      </c>
      <c r="E29" s="21" t="s">
        <v>70</v>
      </c>
      <c r="F29" s="34" t="s">
        <v>124</v>
      </c>
      <c r="G29" s="21" t="s">
        <v>125</v>
      </c>
      <c r="H29" s="21" t="s">
        <v>53</v>
      </c>
      <c r="I29" s="21" t="s">
        <v>749</v>
      </c>
      <c r="J29" s="21" t="s">
        <v>750</v>
      </c>
      <c r="K29" s="21" t="s">
        <v>127</v>
      </c>
      <c r="L29" s="21" t="s">
        <v>1245</v>
      </c>
      <c r="M29" s="21"/>
      <c r="N29" s="77"/>
      <c r="O29" s="80"/>
      <c r="P29" s="80"/>
      <c r="Q29" s="76">
        <f t="shared" si="0"/>
        <v>0</v>
      </c>
      <c r="R29" s="76">
        <f t="shared" si="1"/>
        <v>0</v>
      </c>
      <c r="S29" s="76">
        <f t="shared" si="2"/>
        <v>0</v>
      </c>
      <c r="T29" s="30">
        <v>31.5</v>
      </c>
      <c r="U29" s="16">
        <v>0</v>
      </c>
      <c r="V29" s="16">
        <v>1</v>
      </c>
      <c r="W29" s="16">
        <v>1</v>
      </c>
      <c r="X29" s="16">
        <v>1</v>
      </c>
      <c r="Y29" s="16">
        <v>0</v>
      </c>
      <c r="Z29" s="16">
        <v>1</v>
      </c>
      <c r="AA29" s="16">
        <v>1</v>
      </c>
      <c r="AB29" s="16">
        <v>1</v>
      </c>
      <c r="AC29" s="16">
        <v>0</v>
      </c>
      <c r="AD29" s="16">
        <v>0</v>
      </c>
      <c r="AE29" s="16">
        <v>1</v>
      </c>
      <c r="AF29" s="16">
        <v>1</v>
      </c>
      <c r="AG29" s="16">
        <v>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</row>
    <row r="30" spans="1:94" ht="30" x14ac:dyDescent="0.25">
      <c r="A30" s="21" t="s">
        <v>56</v>
      </c>
      <c r="B30" s="21" t="s">
        <v>5</v>
      </c>
      <c r="C30" s="21" t="s">
        <v>109</v>
      </c>
      <c r="D30" s="21" t="s">
        <v>123</v>
      </c>
      <c r="E30" s="21" t="s">
        <v>70</v>
      </c>
      <c r="F30" s="34" t="s">
        <v>124</v>
      </c>
      <c r="G30" s="21" t="s">
        <v>125</v>
      </c>
      <c r="H30" s="21" t="s">
        <v>56</v>
      </c>
      <c r="I30" s="21" t="s">
        <v>751</v>
      </c>
      <c r="J30" s="21" t="s">
        <v>128</v>
      </c>
      <c r="K30" s="21" t="s">
        <v>128</v>
      </c>
      <c r="L30" s="21" t="s">
        <v>1245</v>
      </c>
      <c r="M30" s="21"/>
      <c r="N30" s="77"/>
      <c r="O30" s="80"/>
      <c r="P30" s="80"/>
      <c r="Q30" s="76">
        <f t="shared" si="0"/>
        <v>0</v>
      </c>
      <c r="R30" s="76">
        <f t="shared" si="1"/>
        <v>0</v>
      </c>
      <c r="S30" s="76">
        <f t="shared" si="2"/>
        <v>0</v>
      </c>
      <c r="T30" s="30">
        <v>94</v>
      </c>
      <c r="U30" s="16">
        <v>0</v>
      </c>
      <c r="V30" s="16">
        <v>1</v>
      </c>
      <c r="W30" s="16">
        <v>1</v>
      </c>
      <c r="X30" s="16">
        <v>1</v>
      </c>
      <c r="Y30" s="16">
        <v>0</v>
      </c>
      <c r="Z30" s="16">
        <v>1</v>
      </c>
      <c r="AA30" s="16">
        <v>1</v>
      </c>
      <c r="AB30" s="16">
        <v>1</v>
      </c>
      <c r="AC30" s="16">
        <v>0</v>
      </c>
      <c r="AD30" s="16">
        <v>0</v>
      </c>
      <c r="AE30" s="16">
        <v>1</v>
      </c>
      <c r="AF30" s="16">
        <v>1</v>
      </c>
      <c r="AG30" s="16">
        <v>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1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</row>
    <row r="31" spans="1:94" ht="18.75" x14ac:dyDescent="0.25">
      <c r="A31" s="21" t="s">
        <v>56</v>
      </c>
      <c r="B31" s="21" t="s">
        <v>5</v>
      </c>
      <c r="C31" s="21" t="s">
        <v>109</v>
      </c>
      <c r="D31" s="21" t="s">
        <v>123</v>
      </c>
      <c r="E31" s="21" t="s">
        <v>70</v>
      </c>
      <c r="F31" s="34" t="s">
        <v>124</v>
      </c>
      <c r="G31" s="21" t="s">
        <v>125</v>
      </c>
      <c r="H31" s="21" t="s">
        <v>59</v>
      </c>
      <c r="I31" s="21" t="s">
        <v>752</v>
      </c>
      <c r="J31" s="21" t="s">
        <v>129</v>
      </c>
      <c r="K31" s="21" t="s">
        <v>129</v>
      </c>
      <c r="L31" s="21" t="s">
        <v>1245</v>
      </c>
      <c r="M31" s="21"/>
      <c r="N31" s="77"/>
      <c r="O31" s="80"/>
      <c r="P31" s="80"/>
      <c r="Q31" s="76">
        <f t="shared" si="0"/>
        <v>0</v>
      </c>
      <c r="R31" s="76">
        <f t="shared" si="1"/>
        <v>0</v>
      </c>
      <c r="S31" s="76">
        <f t="shared" si="2"/>
        <v>0</v>
      </c>
      <c r="T31" s="30">
        <v>31.5</v>
      </c>
      <c r="U31" s="16">
        <v>0</v>
      </c>
      <c r="V31" s="16">
        <v>1</v>
      </c>
      <c r="W31" s="16">
        <v>1</v>
      </c>
      <c r="X31" s="16">
        <v>1</v>
      </c>
      <c r="Y31" s="16">
        <v>0</v>
      </c>
      <c r="Z31" s="16">
        <v>1</v>
      </c>
      <c r="AA31" s="16">
        <v>1</v>
      </c>
      <c r="AB31" s="16">
        <v>1</v>
      </c>
      <c r="AC31" s="16">
        <v>0</v>
      </c>
      <c r="AD31" s="16">
        <v>0</v>
      </c>
      <c r="AE31" s="16">
        <v>1</v>
      </c>
      <c r="AF31" s="16">
        <v>1</v>
      </c>
      <c r="AG31" s="16">
        <v>1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1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</row>
    <row r="32" spans="1:94" ht="18.75" x14ac:dyDescent="0.25">
      <c r="A32" s="21" t="s">
        <v>56</v>
      </c>
      <c r="B32" s="21" t="s">
        <v>5</v>
      </c>
      <c r="C32" s="21" t="s">
        <v>109</v>
      </c>
      <c r="D32" s="21" t="s">
        <v>123</v>
      </c>
      <c r="E32" s="21" t="s">
        <v>70</v>
      </c>
      <c r="F32" s="34" t="s">
        <v>124</v>
      </c>
      <c r="G32" s="21" t="s">
        <v>125</v>
      </c>
      <c r="H32" s="21" t="s">
        <v>62</v>
      </c>
      <c r="I32" s="21" t="s">
        <v>753</v>
      </c>
      <c r="J32" s="21" t="s">
        <v>130</v>
      </c>
      <c r="K32" s="21" t="s">
        <v>130</v>
      </c>
      <c r="L32" s="21" t="s">
        <v>1245</v>
      </c>
      <c r="M32" s="21"/>
      <c r="N32" s="77"/>
      <c r="O32" s="80"/>
      <c r="P32" s="80"/>
      <c r="Q32" s="76">
        <f t="shared" si="0"/>
        <v>0</v>
      </c>
      <c r="R32" s="76">
        <f t="shared" si="1"/>
        <v>0</v>
      </c>
      <c r="S32" s="76">
        <f t="shared" si="2"/>
        <v>0</v>
      </c>
      <c r="T32" s="42">
        <v>11.75</v>
      </c>
      <c r="U32" s="16">
        <v>0</v>
      </c>
      <c r="V32" s="16">
        <v>1</v>
      </c>
      <c r="W32" s="16">
        <v>1</v>
      </c>
      <c r="X32" s="16">
        <v>1</v>
      </c>
      <c r="Y32" s="16">
        <v>0</v>
      </c>
      <c r="Z32" s="16">
        <v>1</v>
      </c>
      <c r="AA32" s="16">
        <v>1</v>
      </c>
      <c r="AB32" s="16">
        <v>1</v>
      </c>
      <c r="AC32" s="16">
        <v>0</v>
      </c>
      <c r="AD32" s="16">
        <v>0</v>
      </c>
      <c r="AE32" s="16">
        <v>1</v>
      </c>
      <c r="AF32" s="16">
        <v>1</v>
      </c>
      <c r="AG32" s="16">
        <v>1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1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</row>
    <row r="33" spans="1:94" ht="18.75" x14ac:dyDescent="0.25">
      <c r="A33" s="21" t="s">
        <v>56</v>
      </c>
      <c r="B33" s="21" t="s">
        <v>5</v>
      </c>
      <c r="C33" s="21" t="s">
        <v>109</v>
      </c>
      <c r="D33" s="21" t="s">
        <v>123</v>
      </c>
      <c r="E33" s="21" t="s">
        <v>70</v>
      </c>
      <c r="F33" s="34" t="s">
        <v>124</v>
      </c>
      <c r="G33" s="21" t="s">
        <v>125</v>
      </c>
      <c r="H33" s="21" t="s">
        <v>65</v>
      </c>
      <c r="I33" s="21" t="s">
        <v>754</v>
      </c>
      <c r="J33" s="21" t="s">
        <v>755</v>
      </c>
      <c r="K33" s="21" t="s">
        <v>131</v>
      </c>
      <c r="L33" s="21" t="s">
        <v>1245</v>
      </c>
      <c r="M33" s="21"/>
      <c r="N33" s="77"/>
      <c r="O33" s="80"/>
      <c r="P33" s="80"/>
      <c r="Q33" s="76">
        <f t="shared" si="0"/>
        <v>0</v>
      </c>
      <c r="R33" s="76">
        <f t="shared" si="1"/>
        <v>0</v>
      </c>
      <c r="S33" s="76">
        <f t="shared" si="2"/>
        <v>0</v>
      </c>
      <c r="T33" s="30">
        <v>2.2000000000000002</v>
      </c>
      <c r="U33" s="16">
        <v>0</v>
      </c>
      <c r="V33" s="16">
        <v>1</v>
      </c>
      <c r="W33" s="16">
        <v>1</v>
      </c>
      <c r="X33" s="16">
        <v>1</v>
      </c>
      <c r="Y33" s="16">
        <v>0</v>
      </c>
      <c r="Z33" s="16">
        <v>1</v>
      </c>
      <c r="AA33" s="16">
        <v>1</v>
      </c>
      <c r="AB33" s="16">
        <v>1</v>
      </c>
      <c r="AC33" s="16">
        <v>0</v>
      </c>
      <c r="AD33" s="16">
        <v>0</v>
      </c>
      <c r="AE33" s="16">
        <v>1</v>
      </c>
      <c r="AF33" s="16">
        <v>1</v>
      </c>
      <c r="AG33" s="16">
        <v>1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1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</row>
    <row r="34" spans="1:94" ht="18.75" x14ac:dyDescent="0.25">
      <c r="A34" s="21" t="s">
        <v>56</v>
      </c>
      <c r="B34" s="21" t="s">
        <v>5</v>
      </c>
      <c r="C34" s="21" t="s">
        <v>109</v>
      </c>
      <c r="D34" s="21" t="s">
        <v>123</v>
      </c>
      <c r="E34" s="21" t="s">
        <v>70</v>
      </c>
      <c r="F34" s="34" t="s">
        <v>124</v>
      </c>
      <c r="G34" s="21" t="s">
        <v>125</v>
      </c>
      <c r="H34" s="21" t="s">
        <v>100</v>
      </c>
      <c r="I34" s="21" t="s">
        <v>756</v>
      </c>
      <c r="J34" s="21" t="s">
        <v>757</v>
      </c>
      <c r="K34" s="21" t="s">
        <v>132</v>
      </c>
      <c r="L34" s="21" t="s">
        <v>1245</v>
      </c>
      <c r="M34" s="21"/>
      <c r="N34" s="77"/>
      <c r="O34" s="80"/>
      <c r="P34" s="80"/>
      <c r="Q34" s="76">
        <f t="shared" si="0"/>
        <v>0</v>
      </c>
      <c r="R34" s="76">
        <f t="shared" si="1"/>
        <v>0</v>
      </c>
      <c r="S34" s="76">
        <f t="shared" si="2"/>
        <v>0</v>
      </c>
      <c r="T34" s="30">
        <v>1.9</v>
      </c>
      <c r="U34" s="16">
        <v>0</v>
      </c>
      <c r="V34" s="16">
        <v>1</v>
      </c>
      <c r="W34" s="16">
        <v>1</v>
      </c>
      <c r="X34" s="16">
        <v>1</v>
      </c>
      <c r="Y34" s="16">
        <v>0</v>
      </c>
      <c r="Z34" s="16">
        <v>1</v>
      </c>
      <c r="AA34" s="16">
        <v>1</v>
      </c>
      <c r="AB34" s="16">
        <v>1</v>
      </c>
      <c r="AC34" s="16">
        <v>0</v>
      </c>
      <c r="AD34" s="16">
        <v>0</v>
      </c>
      <c r="AE34" s="16">
        <v>1</v>
      </c>
      <c r="AF34" s="16">
        <v>1</v>
      </c>
      <c r="AG34" s="16">
        <v>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1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</row>
    <row r="35" spans="1:94" ht="18.75" x14ac:dyDescent="0.25">
      <c r="A35" s="21" t="s">
        <v>56</v>
      </c>
      <c r="B35" s="21" t="s">
        <v>5</v>
      </c>
      <c r="C35" s="21" t="s">
        <v>109</v>
      </c>
      <c r="D35" s="21" t="s">
        <v>123</v>
      </c>
      <c r="E35" s="21" t="s">
        <v>70</v>
      </c>
      <c r="F35" s="34" t="s">
        <v>124</v>
      </c>
      <c r="G35" s="21" t="s">
        <v>125</v>
      </c>
      <c r="H35" s="21" t="s">
        <v>103</v>
      </c>
      <c r="I35" s="21" t="s">
        <v>758</v>
      </c>
      <c r="J35" s="21" t="s">
        <v>759</v>
      </c>
      <c r="K35" s="21" t="s">
        <v>133</v>
      </c>
      <c r="L35" s="21" t="s">
        <v>1245</v>
      </c>
      <c r="M35" s="21"/>
      <c r="N35" s="77"/>
      <c r="O35" s="80"/>
      <c r="P35" s="80"/>
      <c r="Q35" s="76">
        <f t="shared" ref="Q35:Q66" si="3">IF($H35=0,0,COUNTIF(I:I,I35)-1)</f>
        <v>0</v>
      </c>
      <c r="R35" s="76">
        <f t="shared" ref="R35:R66" si="4">IF($H35=0,0,COUNTIF(J:J,J35)-1)</f>
        <v>0</v>
      </c>
      <c r="S35" s="76">
        <f t="shared" ref="S35:S66" si="5">IF($H35=0,0,COUNTIF(K:K,K35)-1)</f>
        <v>0</v>
      </c>
      <c r="T35" s="30">
        <v>25.75</v>
      </c>
      <c r="U35" s="16">
        <v>0</v>
      </c>
      <c r="V35" s="16">
        <v>1</v>
      </c>
      <c r="W35" s="16">
        <v>1</v>
      </c>
      <c r="X35" s="16">
        <v>1</v>
      </c>
      <c r="Y35" s="16">
        <v>0</v>
      </c>
      <c r="Z35" s="16">
        <v>1</v>
      </c>
      <c r="AA35" s="16">
        <v>1</v>
      </c>
      <c r="AB35" s="16">
        <v>1</v>
      </c>
      <c r="AC35" s="16">
        <v>0</v>
      </c>
      <c r="AD35" s="16">
        <v>0</v>
      </c>
      <c r="AE35" s="16">
        <v>1</v>
      </c>
      <c r="AF35" s="16">
        <v>1</v>
      </c>
      <c r="AG35" s="16">
        <v>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1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</row>
    <row r="36" spans="1:94" ht="18.75" x14ac:dyDescent="0.25">
      <c r="A36" s="21" t="s">
        <v>56</v>
      </c>
      <c r="B36" s="21" t="s">
        <v>5</v>
      </c>
      <c r="C36" s="21" t="s">
        <v>109</v>
      </c>
      <c r="D36" s="21" t="s">
        <v>123</v>
      </c>
      <c r="E36" s="21" t="s">
        <v>70</v>
      </c>
      <c r="F36" s="34" t="s">
        <v>124</v>
      </c>
      <c r="G36" s="21" t="s">
        <v>125</v>
      </c>
      <c r="H36" s="21" t="s">
        <v>106</v>
      </c>
      <c r="I36" s="21" t="s">
        <v>760</v>
      </c>
      <c r="J36" s="21" t="s">
        <v>134</v>
      </c>
      <c r="K36" s="21" t="s">
        <v>134</v>
      </c>
      <c r="L36" s="21" t="s">
        <v>1245</v>
      </c>
      <c r="M36" s="21"/>
      <c r="N36" s="77"/>
      <c r="O36" s="80"/>
      <c r="P36" s="80"/>
      <c r="Q36" s="76">
        <f t="shared" si="3"/>
        <v>0</v>
      </c>
      <c r="R36" s="76">
        <f t="shared" si="4"/>
        <v>0</v>
      </c>
      <c r="S36" s="76">
        <f t="shared" si="5"/>
        <v>0</v>
      </c>
      <c r="T36" s="30">
        <v>11.75</v>
      </c>
      <c r="U36" s="16">
        <v>0</v>
      </c>
      <c r="V36" s="16">
        <v>1</v>
      </c>
      <c r="W36" s="16">
        <v>1</v>
      </c>
      <c r="X36" s="16">
        <v>1</v>
      </c>
      <c r="Y36" s="16">
        <v>0</v>
      </c>
      <c r="Z36" s="16">
        <v>1</v>
      </c>
      <c r="AA36" s="16">
        <v>1</v>
      </c>
      <c r="AB36" s="16">
        <v>1</v>
      </c>
      <c r="AC36" s="16">
        <v>0</v>
      </c>
      <c r="AD36" s="16">
        <v>0</v>
      </c>
      <c r="AE36" s="16">
        <v>1</v>
      </c>
      <c r="AF36" s="16">
        <v>1</v>
      </c>
      <c r="AG36" s="16">
        <v>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1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</row>
    <row r="37" spans="1:94" ht="18.75" x14ac:dyDescent="0.25">
      <c r="A37" s="21" t="s">
        <v>56</v>
      </c>
      <c r="B37" s="21" t="s">
        <v>5</v>
      </c>
      <c r="C37" s="21" t="s">
        <v>109</v>
      </c>
      <c r="D37" s="21" t="s">
        <v>123</v>
      </c>
      <c r="E37" s="21" t="s">
        <v>70</v>
      </c>
      <c r="F37" s="34" t="s">
        <v>124</v>
      </c>
      <c r="G37" s="21" t="s">
        <v>125</v>
      </c>
      <c r="H37" s="21" t="s">
        <v>109</v>
      </c>
      <c r="I37" s="21" t="s">
        <v>761</v>
      </c>
      <c r="J37" s="21" t="s">
        <v>135</v>
      </c>
      <c r="K37" s="21" t="s">
        <v>136</v>
      </c>
      <c r="L37" s="21" t="s">
        <v>1245</v>
      </c>
      <c r="M37" s="21"/>
      <c r="N37" s="77"/>
      <c r="O37" s="80"/>
      <c r="P37" s="80"/>
      <c r="Q37" s="76">
        <f t="shared" si="3"/>
        <v>0</v>
      </c>
      <c r="R37" s="76">
        <f t="shared" si="4"/>
        <v>0</v>
      </c>
      <c r="S37" s="76">
        <f t="shared" si="5"/>
        <v>0</v>
      </c>
      <c r="T37" s="30">
        <v>25</v>
      </c>
      <c r="U37" s="16">
        <v>0</v>
      </c>
      <c r="V37" s="16">
        <v>1</v>
      </c>
      <c r="W37" s="16">
        <v>1</v>
      </c>
      <c r="X37" s="16">
        <v>1</v>
      </c>
      <c r="Y37" s="16">
        <v>0</v>
      </c>
      <c r="Z37" s="16">
        <v>1</v>
      </c>
      <c r="AA37" s="16">
        <v>1</v>
      </c>
      <c r="AB37" s="16">
        <v>1</v>
      </c>
      <c r="AC37" s="16">
        <v>0</v>
      </c>
      <c r="AD37" s="16">
        <v>0</v>
      </c>
      <c r="AE37" s="16">
        <v>1</v>
      </c>
      <c r="AF37" s="16">
        <v>1</v>
      </c>
      <c r="AG37" s="16">
        <v>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1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</row>
    <row r="38" spans="1:94" ht="18.75" x14ac:dyDescent="0.25">
      <c r="A38" s="21" t="s">
        <v>56</v>
      </c>
      <c r="B38" s="21" t="s">
        <v>5</v>
      </c>
      <c r="C38" s="21" t="s">
        <v>109</v>
      </c>
      <c r="D38" s="21" t="s">
        <v>123</v>
      </c>
      <c r="E38" s="21" t="s">
        <v>70</v>
      </c>
      <c r="F38" s="34" t="s">
        <v>124</v>
      </c>
      <c r="G38" s="21" t="s">
        <v>125</v>
      </c>
      <c r="H38" s="21" t="s">
        <v>137</v>
      </c>
      <c r="I38" s="21" t="s">
        <v>762</v>
      </c>
      <c r="J38" s="21" t="s">
        <v>763</v>
      </c>
      <c r="K38" s="21" t="s">
        <v>138</v>
      </c>
      <c r="L38" s="21" t="s">
        <v>1245</v>
      </c>
      <c r="M38" s="21"/>
      <c r="N38" s="77"/>
      <c r="O38" s="80"/>
      <c r="P38" s="80"/>
      <c r="Q38" s="76">
        <f t="shared" si="3"/>
        <v>0</v>
      </c>
      <c r="R38" s="76">
        <f t="shared" si="4"/>
        <v>0</v>
      </c>
      <c r="S38" s="76">
        <f t="shared" si="5"/>
        <v>0</v>
      </c>
      <c r="T38" s="30">
        <v>50</v>
      </c>
      <c r="U38" s="16">
        <v>0</v>
      </c>
      <c r="V38" s="16">
        <v>1</v>
      </c>
      <c r="W38" s="16">
        <v>1</v>
      </c>
      <c r="X38" s="16">
        <v>1</v>
      </c>
      <c r="Y38" s="16">
        <v>0</v>
      </c>
      <c r="Z38" s="16">
        <v>1</v>
      </c>
      <c r="AA38" s="16">
        <v>1</v>
      </c>
      <c r="AB38" s="16">
        <v>1</v>
      </c>
      <c r="AC38" s="16">
        <v>0</v>
      </c>
      <c r="AD38" s="16">
        <v>0</v>
      </c>
      <c r="AE38" s="16">
        <v>1</v>
      </c>
      <c r="AF38" s="16">
        <v>1</v>
      </c>
      <c r="AG38" s="16">
        <v>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1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</row>
    <row r="39" spans="1:94" ht="18.75" x14ac:dyDescent="0.25">
      <c r="A39" s="21" t="s">
        <v>56</v>
      </c>
      <c r="B39" s="21" t="s">
        <v>5</v>
      </c>
      <c r="C39" s="21" t="s">
        <v>109</v>
      </c>
      <c r="D39" s="21" t="s">
        <v>123</v>
      </c>
      <c r="E39" s="21" t="s">
        <v>70</v>
      </c>
      <c r="F39" s="34" t="s">
        <v>124</v>
      </c>
      <c r="G39" s="21" t="s">
        <v>125</v>
      </c>
      <c r="H39" s="21" t="s">
        <v>139</v>
      </c>
      <c r="I39" s="21" t="s">
        <v>764</v>
      </c>
      <c r="J39" s="44" t="s">
        <v>765</v>
      </c>
      <c r="K39" s="21" t="s">
        <v>140</v>
      </c>
      <c r="L39" s="21" t="s">
        <v>1245</v>
      </c>
      <c r="M39" s="21"/>
      <c r="N39" s="77"/>
      <c r="O39" s="80"/>
      <c r="P39" s="80"/>
      <c r="Q39" s="76">
        <f t="shared" si="3"/>
        <v>0</v>
      </c>
      <c r="R39" s="76">
        <f t="shared" si="4"/>
        <v>0</v>
      </c>
      <c r="S39" s="76">
        <f t="shared" si="5"/>
        <v>0</v>
      </c>
      <c r="T39" s="30">
        <v>48</v>
      </c>
      <c r="U39" s="16">
        <v>0</v>
      </c>
      <c r="V39" s="16">
        <v>1</v>
      </c>
      <c r="W39" s="16">
        <v>1</v>
      </c>
      <c r="X39" s="16">
        <v>1</v>
      </c>
      <c r="Y39" s="16">
        <v>0</v>
      </c>
      <c r="Z39" s="16">
        <v>1</v>
      </c>
      <c r="AA39" s="16">
        <v>1</v>
      </c>
      <c r="AB39" s="16">
        <v>1</v>
      </c>
      <c r="AC39" s="16">
        <v>0</v>
      </c>
      <c r="AD39" s="16">
        <v>0</v>
      </c>
      <c r="AE39" s="16">
        <v>1</v>
      </c>
      <c r="AF39" s="16">
        <v>1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1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</row>
    <row r="40" spans="1:94" ht="18.75" x14ac:dyDescent="0.25">
      <c r="A40" s="21" t="s">
        <v>56</v>
      </c>
      <c r="B40" s="21" t="s">
        <v>5</v>
      </c>
      <c r="C40" s="21" t="s">
        <v>109</v>
      </c>
      <c r="D40" s="21" t="s">
        <v>123</v>
      </c>
      <c r="E40" s="21" t="s">
        <v>70</v>
      </c>
      <c r="F40" s="34" t="s">
        <v>124</v>
      </c>
      <c r="G40" s="21" t="s">
        <v>125</v>
      </c>
      <c r="H40" s="21" t="s">
        <v>141</v>
      </c>
      <c r="I40" s="21" t="s">
        <v>766</v>
      </c>
      <c r="J40" s="21" t="s">
        <v>767</v>
      </c>
      <c r="K40" s="21" t="s">
        <v>142</v>
      </c>
      <c r="L40" s="21" t="s">
        <v>1245</v>
      </c>
      <c r="M40" s="21"/>
      <c r="N40" s="77"/>
      <c r="O40" s="80"/>
      <c r="P40" s="80"/>
      <c r="Q40" s="76">
        <f t="shared" si="3"/>
        <v>0</v>
      </c>
      <c r="R40" s="76">
        <f t="shared" si="4"/>
        <v>0</v>
      </c>
      <c r="S40" s="76">
        <f t="shared" si="5"/>
        <v>0</v>
      </c>
      <c r="T40" s="30">
        <v>11.5</v>
      </c>
      <c r="U40" s="16">
        <v>0</v>
      </c>
      <c r="V40" s="16">
        <v>1</v>
      </c>
      <c r="W40" s="16">
        <v>1</v>
      </c>
      <c r="X40" s="16">
        <v>1</v>
      </c>
      <c r="Y40" s="16">
        <v>0</v>
      </c>
      <c r="Z40" s="16">
        <v>1</v>
      </c>
      <c r="AA40" s="16">
        <v>1</v>
      </c>
      <c r="AB40" s="16">
        <v>1</v>
      </c>
      <c r="AC40" s="16">
        <v>0</v>
      </c>
      <c r="AD40" s="16">
        <v>0</v>
      </c>
      <c r="AE40" s="16">
        <v>1</v>
      </c>
      <c r="AF40" s="16">
        <v>1</v>
      </c>
      <c r="AG40" s="16">
        <v>1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1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</row>
    <row r="41" spans="1:94" ht="18.75" x14ac:dyDescent="0.25">
      <c r="A41" s="21" t="s">
        <v>56</v>
      </c>
      <c r="B41" s="21" t="s">
        <v>5</v>
      </c>
      <c r="C41" s="21" t="s">
        <v>109</v>
      </c>
      <c r="D41" s="21" t="s">
        <v>123</v>
      </c>
      <c r="E41" s="21" t="s">
        <v>70</v>
      </c>
      <c r="F41" s="34" t="s">
        <v>124</v>
      </c>
      <c r="G41" s="21" t="s">
        <v>125</v>
      </c>
      <c r="H41" s="21" t="s">
        <v>143</v>
      </c>
      <c r="I41" s="21" t="s">
        <v>768</v>
      </c>
      <c r="J41" s="21" t="s">
        <v>1219</v>
      </c>
      <c r="K41" s="21" t="s">
        <v>144</v>
      </c>
      <c r="L41" s="21" t="s">
        <v>1245</v>
      </c>
      <c r="M41" s="21"/>
      <c r="N41" s="77"/>
      <c r="O41" s="80"/>
      <c r="P41" s="80"/>
      <c r="Q41" s="76">
        <f t="shared" si="3"/>
        <v>0</v>
      </c>
      <c r="R41" s="76">
        <f t="shared" si="4"/>
        <v>0</v>
      </c>
      <c r="S41" s="76">
        <f t="shared" si="5"/>
        <v>0</v>
      </c>
      <c r="T41" s="30">
        <v>31.5</v>
      </c>
      <c r="U41" s="16">
        <v>0</v>
      </c>
      <c r="V41" s="16">
        <v>1</v>
      </c>
      <c r="W41" s="16">
        <v>1</v>
      </c>
      <c r="X41" s="16">
        <v>1</v>
      </c>
      <c r="Y41" s="16">
        <v>0</v>
      </c>
      <c r="Z41" s="16">
        <v>1</v>
      </c>
      <c r="AA41" s="16">
        <v>1</v>
      </c>
      <c r="AB41" s="16">
        <v>1</v>
      </c>
      <c r="AC41" s="16">
        <v>0</v>
      </c>
      <c r="AD41" s="16">
        <v>0</v>
      </c>
      <c r="AE41" s="16">
        <v>1</v>
      </c>
      <c r="AF41" s="16">
        <v>1</v>
      </c>
      <c r="AG41" s="16">
        <v>1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1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</row>
    <row r="42" spans="1:94" ht="18.75" x14ac:dyDescent="0.25">
      <c r="A42" s="21" t="s">
        <v>56</v>
      </c>
      <c r="B42" s="21" t="s">
        <v>5</v>
      </c>
      <c r="C42" s="21" t="s">
        <v>109</v>
      </c>
      <c r="D42" s="21" t="s">
        <v>123</v>
      </c>
      <c r="E42" s="21" t="s">
        <v>70</v>
      </c>
      <c r="F42" s="34" t="s">
        <v>124</v>
      </c>
      <c r="G42" s="21" t="s">
        <v>125</v>
      </c>
      <c r="H42" s="21" t="s">
        <v>145</v>
      </c>
      <c r="I42" s="21" t="s">
        <v>769</v>
      </c>
      <c r="J42" s="21" t="s">
        <v>1220</v>
      </c>
      <c r="K42" s="21" t="s">
        <v>146</v>
      </c>
      <c r="L42" s="21" t="s">
        <v>1245</v>
      </c>
      <c r="M42" s="21"/>
      <c r="N42" s="77"/>
      <c r="O42" s="80"/>
      <c r="P42" s="80"/>
      <c r="Q42" s="76">
        <f t="shared" si="3"/>
        <v>0</v>
      </c>
      <c r="R42" s="76">
        <f t="shared" si="4"/>
        <v>0</v>
      </c>
      <c r="S42" s="76">
        <f t="shared" si="5"/>
        <v>0</v>
      </c>
      <c r="T42" s="30">
        <v>31.5</v>
      </c>
      <c r="U42" s="16">
        <v>0</v>
      </c>
      <c r="V42" s="16">
        <v>1</v>
      </c>
      <c r="W42" s="16">
        <v>1</v>
      </c>
      <c r="X42" s="16">
        <v>1</v>
      </c>
      <c r="Y42" s="16">
        <v>0</v>
      </c>
      <c r="Z42" s="16">
        <v>1</v>
      </c>
      <c r="AA42" s="16">
        <v>1</v>
      </c>
      <c r="AB42" s="16">
        <v>1</v>
      </c>
      <c r="AC42" s="16">
        <v>0</v>
      </c>
      <c r="AD42" s="16">
        <v>0</v>
      </c>
      <c r="AE42" s="16">
        <v>1</v>
      </c>
      <c r="AF42" s="16">
        <v>1</v>
      </c>
      <c r="AG42" s="16">
        <v>1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1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</row>
    <row r="43" spans="1:94" ht="18.75" x14ac:dyDescent="0.25">
      <c r="A43" s="21" t="s">
        <v>56</v>
      </c>
      <c r="B43" s="21" t="s">
        <v>5</v>
      </c>
      <c r="C43" s="21" t="s">
        <v>109</v>
      </c>
      <c r="D43" s="21" t="s">
        <v>123</v>
      </c>
      <c r="E43" s="21" t="s">
        <v>70</v>
      </c>
      <c r="F43" s="34" t="s">
        <v>124</v>
      </c>
      <c r="G43" s="21" t="s">
        <v>125</v>
      </c>
      <c r="H43" s="21" t="s">
        <v>147</v>
      </c>
      <c r="I43" s="21" t="s">
        <v>770</v>
      </c>
      <c r="J43" s="21" t="s">
        <v>1221</v>
      </c>
      <c r="K43" s="21" t="s">
        <v>148</v>
      </c>
      <c r="L43" s="21" t="s">
        <v>1245</v>
      </c>
      <c r="M43" s="21"/>
      <c r="N43" s="77"/>
      <c r="O43" s="80"/>
      <c r="P43" s="80"/>
      <c r="Q43" s="76">
        <f t="shared" si="3"/>
        <v>0</v>
      </c>
      <c r="R43" s="76">
        <f t="shared" si="4"/>
        <v>0</v>
      </c>
      <c r="S43" s="76">
        <f t="shared" si="5"/>
        <v>0</v>
      </c>
      <c r="T43" s="30">
        <v>40</v>
      </c>
      <c r="U43" s="16">
        <v>0</v>
      </c>
      <c r="V43" s="16">
        <v>1</v>
      </c>
      <c r="W43" s="16">
        <v>1</v>
      </c>
      <c r="X43" s="16">
        <v>1</v>
      </c>
      <c r="Y43" s="16">
        <v>0</v>
      </c>
      <c r="Z43" s="16">
        <v>1</v>
      </c>
      <c r="AA43" s="16">
        <v>1</v>
      </c>
      <c r="AB43" s="16">
        <v>1</v>
      </c>
      <c r="AC43" s="16">
        <v>0</v>
      </c>
      <c r="AD43" s="16">
        <v>0</v>
      </c>
      <c r="AE43" s="16">
        <v>1</v>
      </c>
      <c r="AF43" s="16">
        <v>1</v>
      </c>
      <c r="AG43" s="16">
        <v>1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1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</row>
    <row r="44" spans="1:94" ht="18.75" x14ac:dyDescent="0.25">
      <c r="A44" s="21" t="s">
        <v>56</v>
      </c>
      <c r="B44" s="21" t="s">
        <v>5</v>
      </c>
      <c r="C44" s="21" t="s">
        <v>109</v>
      </c>
      <c r="D44" s="21" t="s">
        <v>123</v>
      </c>
      <c r="E44" s="21" t="s">
        <v>70</v>
      </c>
      <c r="F44" s="34" t="s">
        <v>124</v>
      </c>
      <c r="G44" s="21" t="s">
        <v>125</v>
      </c>
      <c r="H44" s="21" t="s">
        <v>149</v>
      </c>
      <c r="I44" s="21" t="s">
        <v>771</v>
      </c>
      <c r="J44" s="21" t="s">
        <v>1222</v>
      </c>
      <c r="K44" s="21" t="s">
        <v>150</v>
      </c>
      <c r="L44" s="21" t="s">
        <v>1245</v>
      </c>
      <c r="M44" s="21"/>
      <c r="N44" s="77"/>
      <c r="O44" s="80"/>
      <c r="P44" s="80"/>
      <c r="Q44" s="76">
        <f t="shared" si="3"/>
        <v>0</v>
      </c>
      <c r="R44" s="76">
        <f t="shared" si="4"/>
        <v>0</v>
      </c>
      <c r="S44" s="76">
        <f t="shared" si="5"/>
        <v>0</v>
      </c>
      <c r="T44" s="30">
        <v>48</v>
      </c>
      <c r="U44" s="16">
        <v>0</v>
      </c>
      <c r="V44" s="16">
        <v>1</v>
      </c>
      <c r="W44" s="16">
        <v>1</v>
      </c>
      <c r="X44" s="16">
        <v>1</v>
      </c>
      <c r="Y44" s="16">
        <v>0</v>
      </c>
      <c r="Z44" s="16">
        <v>1</v>
      </c>
      <c r="AA44" s="16">
        <v>1</v>
      </c>
      <c r="AB44" s="16">
        <v>1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1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</row>
    <row r="45" spans="1:94" ht="18.75" x14ac:dyDescent="0.25">
      <c r="A45" s="21" t="s">
        <v>56</v>
      </c>
      <c r="B45" s="21" t="s">
        <v>5</v>
      </c>
      <c r="C45" s="21" t="s">
        <v>109</v>
      </c>
      <c r="D45" s="21" t="s">
        <v>123</v>
      </c>
      <c r="E45" s="21" t="s">
        <v>70</v>
      </c>
      <c r="F45" s="34" t="s">
        <v>124</v>
      </c>
      <c r="G45" s="21" t="s">
        <v>125</v>
      </c>
      <c r="H45" s="21" t="s">
        <v>151</v>
      </c>
      <c r="I45" s="21" t="s">
        <v>772</v>
      </c>
      <c r="J45" s="21" t="s">
        <v>1223</v>
      </c>
      <c r="K45" s="21" t="s">
        <v>152</v>
      </c>
      <c r="L45" s="21" t="s">
        <v>1245</v>
      </c>
      <c r="M45" s="21"/>
      <c r="N45" s="77"/>
      <c r="O45" s="80"/>
      <c r="P45" s="80"/>
      <c r="Q45" s="76">
        <f t="shared" si="3"/>
        <v>0</v>
      </c>
      <c r="R45" s="76">
        <f t="shared" si="4"/>
        <v>0</v>
      </c>
      <c r="S45" s="76">
        <f t="shared" si="5"/>
        <v>0</v>
      </c>
      <c r="T45" s="30">
        <v>31.5</v>
      </c>
      <c r="U45" s="16">
        <v>0</v>
      </c>
      <c r="V45" s="16">
        <v>1</v>
      </c>
      <c r="W45" s="16">
        <v>1</v>
      </c>
      <c r="X45" s="16">
        <v>1</v>
      </c>
      <c r="Y45" s="16">
        <v>0</v>
      </c>
      <c r="Z45" s="16">
        <v>1</v>
      </c>
      <c r="AA45" s="16">
        <v>1</v>
      </c>
      <c r="AB45" s="16">
        <v>1</v>
      </c>
      <c r="AC45" s="16">
        <v>0</v>
      </c>
      <c r="AD45" s="16">
        <v>0</v>
      </c>
      <c r="AE45" s="16">
        <v>1</v>
      </c>
      <c r="AF45" s="16">
        <v>1</v>
      </c>
      <c r="AG45" s="16">
        <v>1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1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</row>
    <row r="46" spans="1:94" ht="18.75" x14ac:dyDescent="0.25">
      <c r="A46" s="21" t="s">
        <v>56</v>
      </c>
      <c r="B46" s="21" t="s">
        <v>5</v>
      </c>
      <c r="C46" s="21" t="s">
        <v>109</v>
      </c>
      <c r="D46" s="21" t="s">
        <v>123</v>
      </c>
      <c r="E46" s="21" t="s">
        <v>70</v>
      </c>
      <c r="F46" s="34" t="s">
        <v>124</v>
      </c>
      <c r="G46" s="21" t="s">
        <v>125</v>
      </c>
      <c r="H46" s="21" t="s">
        <v>153</v>
      </c>
      <c r="I46" s="21" t="s">
        <v>773</v>
      </c>
      <c r="J46" s="21" t="s">
        <v>1224</v>
      </c>
      <c r="K46" s="21" t="s">
        <v>154</v>
      </c>
      <c r="L46" s="21" t="s">
        <v>1245</v>
      </c>
      <c r="M46" s="21"/>
      <c r="N46" s="77"/>
      <c r="O46" s="80"/>
      <c r="P46" s="80"/>
      <c r="Q46" s="76">
        <f t="shared" si="3"/>
        <v>0</v>
      </c>
      <c r="R46" s="76">
        <f t="shared" si="4"/>
        <v>0</v>
      </c>
      <c r="S46" s="76">
        <f t="shared" si="5"/>
        <v>0</v>
      </c>
      <c r="T46" s="30">
        <v>31.5</v>
      </c>
      <c r="U46" s="16">
        <v>0</v>
      </c>
      <c r="V46" s="16">
        <v>1</v>
      </c>
      <c r="W46" s="16">
        <v>1</v>
      </c>
      <c r="X46" s="16">
        <v>1</v>
      </c>
      <c r="Y46" s="16">
        <v>0</v>
      </c>
      <c r="Z46" s="16">
        <v>1</v>
      </c>
      <c r="AA46" s="16">
        <v>1</v>
      </c>
      <c r="AB46" s="16">
        <v>1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1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</row>
    <row r="47" spans="1:94" ht="18.75" x14ac:dyDescent="0.25">
      <c r="A47" s="21" t="s">
        <v>56</v>
      </c>
      <c r="B47" s="21" t="s">
        <v>5</v>
      </c>
      <c r="C47" s="21" t="s">
        <v>109</v>
      </c>
      <c r="D47" s="21" t="s">
        <v>123</v>
      </c>
      <c r="E47" s="21" t="s">
        <v>70</v>
      </c>
      <c r="F47" s="34" t="s">
        <v>124</v>
      </c>
      <c r="G47" s="21" t="s">
        <v>125</v>
      </c>
      <c r="H47" s="21" t="s">
        <v>155</v>
      </c>
      <c r="I47" s="21" t="s">
        <v>774</v>
      </c>
      <c r="J47" s="21" t="s">
        <v>1225</v>
      </c>
      <c r="K47" s="21" t="s">
        <v>156</v>
      </c>
      <c r="L47" s="21" t="s">
        <v>1245</v>
      </c>
      <c r="M47" s="21"/>
      <c r="N47" s="77"/>
      <c r="O47" s="80"/>
      <c r="P47" s="80"/>
      <c r="Q47" s="76">
        <f t="shared" si="3"/>
        <v>0</v>
      </c>
      <c r="R47" s="76">
        <f t="shared" si="4"/>
        <v>0</v>
      </c>
      <c r="S47" s="76">
        <f t="shared" si="5"/>
        <v>0</v>
      </c>
      <c r="T47" s="30">
        <v>31.5</v>
      </c>
      <c r="U47" s="16">
        <v>0</v>
      </c>
      <c r="V47" s="16">
        <v>1</v>
      </c>
      <c r="W47" s="16">
        <v>1</v>
      </c>
      <c r="X47" s="16">
        <v>1</v>
      </c>
      <c r="Y47" s="16">
        <v>0</v>
      </c>
      <c r="Z47" s="16">
        <v>1</v>
      </c>
      <c r="AA47" s="16">
        <v>1</v>
      </c>
      <c r="AB47" s="16">
        <v>1</v>
      </c>
      <c r="AC47" s="16">
        <v>0</v>
      </c>
      <c r="AD47" s="16">
        <v>0</v>
      </c>
      <c r="AE47" s="16">
        <v>1</v>
      </c>
      <c r="AF47" s="16">
        <v>1</v>
      </c>
      <c r="AG47" s="16">
        <v>1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1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</row>
    <row r="48" spans="1:94" ht="18.75" x14ac:dyDescent="0.25">
      <c r="A48" s="21" t="s">
        <v>56</v>
      </c>
      <c r="B48" s="21" t="s">
        <v>5</v>
      </c>
      <c r="C48" s="21" t="s">
        <v>145</v>
      </c>
      <c r="D48" s="21" t="s">
        <v>157</v>
      </c>
      <c r="E48" s="21" t="s">
        <v>70</v>
      </c>
      <c r="F48" s="34" t="s">
        <v>158</v>
      </c>
      <c r="G48" s="21" t="s">
        <v>159</v>
      </c>
      <c r="H48" s="21" t="s">
        <v>51</v>
      </c>
      <c r="I48" s="21" t="s">
        <v>775</v>
      </c>
      <c r="J48" s="21" t="s">
        <v>160</v>
      </c>
      <c r="K48" s="21" t="s">
        <v>161</v>
      </c>
      <c r="L48" s="21" t="s">
        <v>1246</v>
      </c>
      <c r="M48" s="21"/>
      <c r="N48" s="77"/>
      <c r="O48" s="80"/>
      <c r="P48" s="80"/>
      <c r="Q48" s="76">
        <f t="shared" si="3"/>
        <v>0</v>
      </c>
      <c r="R48" s="76">
        <f t="shared" si="4"/>
        <v>0</v>
      </c>
      <c r="S48" s="76">
        <f t="shared" si="5"/>
        <v>0</v>
      </c>
      <c r="T48" s="30">
        <v>20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</row>
    <row r="49" spans="1:94" ht="18.75" x14ac:dyDescent="0.25">
      <c r="A49" s="21" t="s">
        <v>56</v>
      </c>
      <c r="B49" s="21" t="s">
        <v>5</v>
      </c>
      <c r="C49" s="21" t="s">
        <v>155</v>
      </c>
      <c r="D49" s="21" t="s">
        <v>162</v>
      </c>
      <c r="E49" s="21" t="s">
        <v>70</v>
      </c>
      <c r="F49" s="34" t="s">
        <v>163</v>
      </c>
      <c r="G49" s="21" t="s">
        <v>164</v>
      </c>
      <c r="H49" s="21" t="s">
        <v>51</v>
      </c>
      <c r="I49" s="21" t="s">
        <v>776</v>
      </c>
      <c r="J49" s="21" t="s">
        <v>777</v>
      </c>
      <c r="K49" s="21" t="s">
        <v>165</v>
      </c>
      <c r="L49" s="21" t="s">
        <v>1247</v>
      </c>
      <c r="M49" s="21"/>
      <c r="N49" s="77"/>
      <c r="O49" s="80"/>
      <c r="P49" s="80"/>
      <c r="Q49" s="76">
        <f t="shared" si="3"/>
        <v>0</v>
      </c>
      <c r="R49" s="76">
        <f t="shared" si="4"/>
        <v>0</v>
      </c>
      <c r="S49" s="76">
        <f t="shared" si="5"/>
        <v>0</v>
      </c>
      <c r="T49" s="30">
        <v>2333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</row>
    <row r="50" spans="1:94" ht="18.75" x14ac:dyDescent="0.25">
      <c r="A50" s="21" t="s">
        <v>56</v>
      </c>
      <c r="B50" s="21" t="s">
        <v>5</v>
      </c>
      <c r="C50" s="21" t="s">
        <v>155</v>
      </c>
      <c r="D50" s="21" t="s">
        <v>162</v>
      </c>
      <c r="E50" s="21" t="s">
        <v>70</v>
      </c>
      <c r="F50" s="34" t="s">
        <v>163</v>
      </c>
      <c r="G50" s="21" t="s">
        <v>164</v>
      </c>
      <c r="H50" s="21" t="s">
        <v>53</v>
      </c>
      <c r="I50" s="21" t="s">
        <v>778</v>
      </c>
      <c r="J50" s="21" t="s">
        <v>779</v>
      </c>
      <c r="K50" s="21" t="s">
        <v>166</v>
      </c>
      <c r="L50" s="21" t="s">
        <v>1247</v>
      </c>
      <c r="M50" s="21"/>
      <c r="N50" s="77"/>
      <c r="O50" s="80"/>
      <c r="P50" s="80"/>
      <c r="Q50" s="76">
        <f t="shared" si="3"/>
        <v>0</v>
      </c>
      <c r="R50" s="76">
        <f t="shared" si="4"/>
        <v>0</v>
      </c>
      <c r="S50" s="76">
        <f t="shared" si="5"/>
        <v>0</v>
      </c>
      <c r="T50" s="30">
        <v>2333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</row>
    <row r="51" spans="1:94" ht="18.75" x14ac:dyDescent="0.25">
      <c r="A51" s="21" t="s">
        <v>56</v>
      </c>
      <c r="B51" s="21" t="s">
        <v>5</v>
      </c>
      <c r="C51" s="21" t="s">
        <v>155</v>
      </c>
      <c r="D51" s="21" t="s">
        <v>162</v>
      </c>
      <c r="E51" s="21" t="s">
        <v>70</v>
      </c>
      <c r="F51" s="34" t="s">
        <v>163</v>
      </c>
      <c r="G51" s="21" t="s">
        <v>164</v>
      </c>
      <c r="H51" s="21" t="s">
        <v>56</v>
      </c>
      <c r="I51" s="21" t="s">
        <v>780</v>
      </c>
      <c r="J51" s="21" t="s">
        <v>781</v>
      </c>
      <c r="K51" s="21" t="s">
        <v>167</v>
      </c>
      <c r="L51" s="21" t="s">
        <v>1247</v>
      </c>
      <c r="M51" s="21"/>
      <c r="N51" s="77"/>
      <c r="O51" s="80"/>
      <c r="P51" s="80"/>
      <c r="Q51" s="76">
        <f t="shared" si="3"/>
        <v>0</v>
      </c>
      <c r="R51" s="76">
        <f t="shared" si="4"/>
        <v>0</v>
      </c>
      <c r="S51" s="76">
        <f t="shared" si="5"/>
        <v>0</v>
      </c>
      <c r="T51" s="30">
        <v>2333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</row>
    <row r="52" spans="1:94" ht="18.75" x14ac:dyDescent="0.25">
      <c r="A52" s="21" t="s">
        <v>56</v>
      </c>
      <c r="B52" s="21" t="s">
        <v>5</v>
      </c>
      <c r="C52" s="21" t="s">
        <v>155</v>
      </c>
      <c r="D52" s="21" t="s">
        <v>162</v>
      </c>
      <c r="E52" s="21" t="s">
        <v>70</v>
      </c>
      <c r="F52" s="34" t="s">
        <v>163</v>
      </c>
      <c r="G52" s="21" t="s">
        <v>164</v>
      </c>
      <c r="H52" s="21" t="s">
        <v>59</v>
      </c>
      <c r="I52" s="21" t="s">
        <v>782</v>
      </c>
      <c r="J52" s="21" t="s">
        <v>783</v>
      </c>
      <c r="K52" s="21" t="s">
        <v>168</v>
      </c>
      <c r="L52" s="21" t="s">
        <v>1247</v>
      </c>
      <c r="M52" s="21"/>
      <c r="N52" s="77"/>
      <c r="O52" s="80"/>
      <c r="P52" s="80"/>
      <c r="Q52" s="76">
        <f t="shared" si="3"/>
        <v>0</v>
      </c>
      <c r="R52" s="76">
        <f t="shared" si="4"/>
        <v>0</v>
      </c>
      <c r="S52" s="76">
        <f t="shared" si="5"/>
        <v>0</v>
      </c>
      <c r="T52" s="30">
        <v>2333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</row>
    <row r="53" spans="1:94" ht="18.75" x14ac:dyDescent="0.25">
      <c r="A53" s="21" t="s">
        <v>56</v>
      </c>
      <c r="B53" s="21" t="s">
        <v>5</v>
      </c>
      <c r="C53" s="21" t="s">
        <v>155</v>
      </c>
      <c r="D53" s="21" t="s">
        <v>162</v>
      </c>
      <c r="E53" s="21" t="s">
        <v>70</v>
      </c>
      <c r="F53" s="34" t="s">
        <v>163</v>
      </c>
      <c r="G53" s="21" t="s">
        <v>164</v>
      </c>
      <c r="H53" s="21" t="s">
        <v>62</v>
      </c>
      <c r="I53" s="21" t="s">
        <v>784</v>
      </c>
      <c r="J53" s="21" t="s">
        <v>785</v>
      </c>
      <c r="K53" s="21" t="s">
        <v>169</v>
      </c>
      <c r="L53" s="21" t="s">
        <v>1247</v>
      </c>
      <c r="M53" s="21"/>
      <c r="N53" s="77"/>
      <c r="O53" s="80"/>
      <c r="P53" s="80"/>
      <c r="Q53" s="76">
        <f t="shared" si="3"/>
        <v>0</v>
      </c>
      <c r="R53" s="76">
        <f t="shared" si="4"/>
        <v>0</v>
      </c>
      <c r="S53" s="76">
        <f t="shared" si="5"/>
        <v>0</v>
      </c>
      <c r="T53" s="30">
        <v>2333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v>0</v>
      </c>
      <c r="CM53" s="16">
        <v>0</v>
      </c>
      <c r="CN53" s="16">
        <v>0</v>
      </c>
      <c r="CO53" s="16">
        <v>0</v>
      </c>
      <c r="CP53" s="16">
        <v>0</v>
      </c>
    </row>
    <row r="54" spans="1:94" ht="18.75" x14ac:dyDescent="0.25">
      <c r="A54" s="21" t="s">
        <v>56</v>
      </c>
      <c r="B54" s="21" t="s">
        <v>5</v>
      </c>
      <c r="C54" s="21" t="s">
        <v>155</v>
      </c>
      <c r="D54" s="21" t="s">
        <v>162</v>
      </c>
      <c r="E54" s="21" t="s">
        <v>70</v>
      </c>
      <c r="F54" s="34" t="s">
        <v>163</v>
      </c>
      <c r="G54" s="21" t="s">
        <v>164</v>
      </c>
      <c r="H54" s="21" t="s">
        <v>65</v>
      </c>
      <c r="I54" s="21" t="s">
        <v>786</v>
      </c>
      <c r="J54" s="21" t="s">
        <v>787</v>
      </c>
      <c r="K54" s="21" t="s">
        <v>170</v>
      </c>
      <c r="L54" s="21" t="s">
        <v>1247</v>
      </c>
      <c r="M54" s="21"/>
      <c r="N54" s="77"/>
      <c r="O54" s="80"/>
      <c r="P54" s="80"/>
      <c r="Q54" s="76">
        <f t="shared" si="3"/>
        <v>0</v>
      </c>
      <c r="R54" s="76">
        <f t="shared" si="4"/>
        <v>0</v>
      </c>
      <c r="S54" s="76">
        <f t="shared" si="5"/>
        <v>0</v>
      </c>
      <c r="T54" s="30">
        <v>2333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16">
        <v>0</v>
      </c>
      <c r="CO54" s="16">
        <v>0</v>
      </c>
      <c r="CP54" s="16">
        <v>0</v>
      </c>
    </row>
    <row r="55" spans="1:94" ht="18.75" x14ac:dyDescent="0.25">
      <c r="A55" s="21" t="s">
        <v>56</v>
      </c>
      <c r="B55" s="21" t="s">
        <v>5</v>
      </c>
      <c r="C55" s="21" t="s">
        <v>155</v>
      </c>
      <c r="D55" s="21" t="s">
        <v>162</v>
      </c>
      <c r="E55" s="21" t="s">
        <v>70</v>
      </c>
      <c r="F55" s="34" t="s">
        <v>163</v>
      </c>
      <c r="G55" s="21" t="s">
        <v>164</v>
      </c>
      <c r="H55" s="21" t="s">
        <v>100</v>
      </c>
      <c r="I55" s="21" t="s">
        <v>788</v>
      </c>
      <c r="J55" s="21" t="s">
        <v>789</v>
      </c>
      <c r="K55" s="21" t="s">
        <v>171</v>
      </c>
      <c r="L55" s="21" t="s">
        <v>1247</v>
      </c>
      <c r="M55" s="21"/>
      <c r="N55" s="77"/>
      <c r="O55" s="80"/>
      <c r="P55" s="80"/>
      <c r="Q55" s="76">
        <f t="shared" si="3"/>
        <v>0</v>
      </c>
      <c r="R55" s="76">
        <f t="shared" si="4"/>
        <v>0</v>
      </c>
      <c r="S55" s="76">
        <f t="shared" si="5"/>
        <v>0</v>
      </c>
      <c r="T55" s="30">
        <v>2333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</row>
    <row r="56" spans="1:94" ht="18.75" x14ac:dyDescent="0.25">
      <c r="A56" s="21" t="s">
        <v>56</v>
      </c>
      <c r="B56" s="21" t="s">
        <v>5</v>
      </c>
      <c r="C56" s="21" t="s">
        <v>155</v>
      </c>
      <c r="D56" s="21" t="s">
        <v>162</v>
      </c>
      <c r="E56" s="21" t="s">
        <v>70</v>
      </c>
      <c r="F56" s="34" t="s">
        <v>163</v>
      </c>
      <c r="G56" s="21" t="s">
        <v>164</v>
      </c>
      <c r="H56" s="21" t="s">
        <v>103</v>
      </c>
      <c r="I56" s="21" t="s">
        <v>790</v>
      </c>
      <c r="J56" s="21" t="s">
        <v>791</v>
      </c>
      <c r="K56" s="21" t="s">
        <v>172</v>
      </c>
      <c r="L56" s="21" t="s">
        <v>1247</v>
      </c>
      <c r="M56" s="21"/>
      <c r="N56" s="77"/>
      <c r="O56" s="80"/>
      <c r="P56" s="80"/>
      <c r="Q56" s="76">
        <f t="shared" si="3"/>
        <v>0</v>
      </c>
      <c r="R56" s="76">
        <f t="shared" si="4"/>
        <v>0</v>
      </c>
      <c r="S56" s="76">
        <f t="shared" si="5"/>
        <v>0</v>
      </c>
      <c r="T56" s="30">
        <v>2333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</row>
    <row r="57" spans="1:94" ht="18.75" x14ac:dyDescent="0.25">
      <c r="A57" s="21" t="s">
        <v>56</v>
      </c>
      <c r="B57" s="21" t="s">
        <v>5</v>
      </c>
      <c r="C57" s="21" t="s">
        <v>155</v>
      </c>
      <c r="D57" s="21" t="s">
        <v>162</v>
      </c>
      <c r="E57" s="21" t="s">
        <v>70</v>
      </c>
      <c r="F57" s="34" t="s">
        <v>163</v>
      </c>
      <c r="G57" s="21" t="s">
        <v>164</v>
      </c>
      <c r="H57" s="21" t="s">
        <v>106</v>
      </c>
      <c r="I57" s="21" t="s">
        <v>792</v>
      </c>
      <c r="J57" s="21" t="s">
        <v>793</v>
      </c>
      <c r="K57" s="21" t="s">
        <v>173</v>
      </c>
      <c r="L57" s="21" t="s">
        <v>1247</v>
      </c>
      <c r="M57" s="21"/>
      <c r="N57" s="77"/>
      <c r="O57" s="80"/>
      <c r="P57" s="80"/>
      <c r="Q57" s="76">
        <f t="shared" si="3"/>
        <v>0</v>
      </c>
      <c r="R57" s="76">
        <f t="shared" si="4"/>
        <v>0</v>
      </c>
      <c r="S57" s="76">
        <f t="shared" si="5"/>
        <v>0</v>
      </c>
      <c r="T57" s="30">
        <v>2333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</row>
    <row r="58" spans="1:94" ht="18.75" x14ac:dyDescent="0.25">
      <c r="A58" s="21" t="s">
        <v>56</v>
      </c>
      <c r="B58" s="21" t="s">
        <v>5</v>
      </c>
      <c r="C58" s="21" t="s">
        <v>155</v>
      </c>
      <c r="D58" s="21" t="s">
        <v>162</v>
      </c>
      <c r="E58" s="21" t="s">
        <v>70</v>
      </c>
      <c r="F58" s="34" t="s">
        <v>163</v>
      </c>
      <c r="G58" s="21" t="s">
        <v>164</v>
      </c>
      <c r="H58" s="21" t="s">
        <v>109</v>
      </c>
      <c r="I58" s="21" t="s">
        <v>794</v>
      </c>
      <c r="J58" s="21" t="s">
        <v>795</v>
      </c>
      <c r="K58" s="21" t="s">
        <v>174</v>
      </c>
      <c r="L58" s="21" t="s">
        <v>1248</v>
      </c>
      <c r="M58" s="21"/>
      <c r="N58" s="77"/>
      <c r="O58" s="80"/>
      <c r="P58" s="80"/>
      <c r="Q58" s="76">
        <f t="shared" si="3"/>
        <v>0</v>
      </c>
      <c r="R58" s="76">
        <f t="shared" si="4"/>
        <v>0</v>
      </c>
      <c r="S58" s="76">
        <f t="shared" si="5"/>
        <v>0</v>
      </c>
      <c r="T58" s="30">
        <v>25</v>
      </c>
      <c r="U58" s="16">
        <v>0</v>
      </c>
      <c r="V58" s="16">
        <v>1</v>
      </c>
      <c r="W58" s="16">
        <v>1</v>
      </c>
      <c r="X58" s="16">
        <v>1</v>
      </c>
      <c r="Y58" s="16">
        <v>1</v>
      </c>
      <c r="Z58" s="16">
        <v>1</v>
      </c>
      <c r="AA58" s="16">
        <v>1</v>
      </c>
      <c r="AB58" s="16">
        <v>1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1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</row>
    <row r="59" spans="1:94" ht="18.75" x14ac:dyDescent="0.25">
      <c r="A59" s="22" t="s">
        <v>56</v>
      </c>
      <c r="B59" s="22" t="s">
        <v>5</v>
      </c>
      <c r="C59" s="22" t="s">
        <v>175</v>
      </c>
      <c r="D59" s="22" t="s">
        <v>176</v>
      </c>
      <c r="E59" s="22" t="s">
        <v>70</v>
      </c>
      <c r="F59" s="35" t="s">
        <v>177</v>
      </c>
      <c r="G59" s="22" t="s">
        <v>177</v>
      </c>
      <c r="H59" s="22" t="s">
        <v>51</v>
      </c>
      <c r="I59" s="22" t="s">
        <v>796</v>
      </c>
      <c r="J59" s="22" t="s">
        <v>797</v>
      </c>
      <c r="K59" s="22" t="s">
        <v>178</v>
      </c>
      <c r="L59" s="22" t="s">
        <v>1245</v>
      </c>
      <c r="M59" s="22"/>
      <c r="N59" s="77"/>
      <c r="O59" s="80"/>
      <c r="P59" s="80"/>
      <c r="Q59" s="76">
        <f t="shared" si="3"/>
        <v>0</v>
      </c>
      <c r="R59" s="76">
        <f t="shared" si="4"/>
        <v>0</v>
      </c>
      <c r="S59" s="76">
        <f t="shared" si="5"/>
        <v>0</v>
      </c>
      <c r="T59" s="57">
        <v>94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</row>
    <row r="60" spans="1:94" ht="18.75" x14ac:dyDescent="0.25">
      <c r="A60" s="22" t="s">
        <v>56</v>
      </c>
      <c r="B60" s="22" t="s">
        <v>5</v>
      </c>
      <c r="C60" s="22" t="s">
        <v>175</v>
      </c>
      <c r="D60" s="22" t="s">
        <v>176</v>
      </c>
      <c r="E60" s="22" t="s">
        <v>70</v>
      </c>
      <c r="F60" s="35" t="s">
        <v>177</v>
      </c>
      <c r="G60" s="22" t="s">
        <v>177</v>
      </c>
      <c r="H60" s="22" t="s">
        <v>53</v>
      </c>
      <c r="I60" s="22" t="s">
        <v>798</v>
      </c>
      <c r="J60" s="22" t="s">
        <v>799</v>
      </c>
      <c r="K60" s="22" t="s">
        <v>179</v>
      </c>
      <c r="L60" s="22" t="s">
        <v>1245</v>
      </c>
      <c r="M60" s="22"/>
      <c r="N60" s="77"/>
      <c r="O60" s="80"/>
      <c r="P60" s="80"/>
      <c r="Q60" s="76">
        <f t="shared" si="3"/>
        <v>0</v>
      </c>
      <c r="R60" s="76">
        <f t="shared" si="4"/>
        <v>0</v>
      </c>
      <c r="S60" s="76">
        <f t="shared" si="5"/>
        <v>0</v>
      </c>
      <c r="T60" s="57">
        <v>63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</row>
    <row r="61" spans="1:94" ht="18.75" x14ac:dyDescent="0.25">
      <c r="A61" s="21" t="s">
        <v>56</v>
      </c>
      <c r="B61" s="21" t="s">
        <v>5</v>
      </c>
      <c r="C61" s="21" t="s">
        <v>180</v>
      </c>
      <c r="D61" s="21" t="s">
        <v>181</v>
      </c>
      <c r="E61" s="21" t="s">
        <v>70</v>
      </c>
      <c r="F61" s="34" t="s">
        <v>182</v>
      </c>
      <c r="G61" s="21" t="s">
        <v>5</v>
      </c>
      <c r="H61" s="21" t="s">
        <v>51</v>
      </c>
      <c r="I61" s="21" t="s">
        <v>800</v>
      </c>
      <c r="J61" s="21" t="s">
        <v>1169</v>
      </c>
      <c r="K61" s="21" t="s">
        <v>183</v>
      </c>
      <c r="L61" s="21" t="s">
        <v>1249</v>
      </c>
      <c r="M61" s="21"/>
      <c r="N61" s="77"/>
      <c r="O61" s="80"/>
      <c r="P61" s="80"/>
      <c r="Q61" s="76">
        <f t="shared" si="3"/>
        <v>0</v>
      </c>
      <c r="R61" s="76">
        <f t="shared" si="4"/>
        <v>0</v>
      </c>
      <c r="S61" s="76">
        <f t="shared" si="5"/>
        <v>0</v>
      </c>
      <c r="T61" s="30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</row>
    <row r="62" spans="1:94" ht="18.75" x14ac:dyDescent="0.25">
      <c r="A62" s="21" t="s">
        <v>56</v>
      </c>
      <c r="B62" s="21" t="s">
        <v>5</v>
      </c>
      <c r="C62" s="21" t="s">
        <v>180</v>
      </c>
      <c r="D62" s="21" t="s">
        <v>181</v>
      </c>
      <c r="E62" s="21" t="s">
        <v>70</v>
      </c>
      <c r="F62" s="34" t="s">
        <v>182</v>
      </c>
      <c r="G62" s="21" t="s">
        <v>5</v>
      </c>
      <c r="H62" s="21" t="s">
        <v>53</v>
      </c>
      <c r="I62" s="21" t="s">
        <v>801</v>
      </c>
      <c r="J62" s="21" t="s">
        <v>184</v>
      </c>
      <c r="K62" s="21" t="s">
        <v>184</v>
      </c>
      <c r="L62" s="21" t="s">
        <v>1249</v>
      </c>
      <c r="M62" s="21"/>
      <c r="N62" s="77"/>
      <c r="O62" s="80"/>
      <c r="P62" s="80"/>
      <c r="Q62" s="76">
        <f t="shared" si="3"/>
        <v>0</v>
      </c>
      <c r="R62" s="76">
        <f t="shared" si="4"/>
        <v>0</v>
      </c>
      <c r="S62" s="76">
        <f t="shared" si="5"/>
        <v>0</v>
      </c>
      <c r="T62" s="30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</row>
    <row r="63" spans="1:94" ht="18.75" x14ac:dyDescent="0.25">
      <c r="A63" s="21" t="s">
        <v>56</v>
      </c>
      <c r="B63" s="21" t="s">
        <v>5</v>
      </c>
      <c r="C63" s="21" t="s">
        <v>180</v>
      </c>
      <c r="D63" s="21" t="s">
        <v>181</v>
      </c>
      <c r="E63" s="21" t="s">
        <v>70</v>
      </c>
      <c r="F63" s="34" t="s">
        <v>182</v>
      </c>
      <c r="G63" s="21" t="s">
        <v>5</v>
      </c>
      <c r="H63" s="21" t="s">
        <v>56</v>
      </c>
      <c r="I63" s="21" t="s">
        <v>802</v>
      </c>
      <c r="J63" s="21" t="s">
        <v>185</v>
      </c>
      <c r="K63" s="21" t="s">
        <v>185</v>
      </c>
      <c r="L63" s="21" t="s">
        <v>1249</v>
      </c>
      <c r="M63" s="21"/>
      <c r="N63" s="77"/>
      <c r="O63" s="80"/>
      <c r="P63" s="80"/>
      <c r="Q63" s="76">
        <f t="shared" si="3"/>
        <v>0</v>
      </c>
      <c r="R63" s="76">
        <f t="shared" si="4"/>
        <v>0</v>
      </c>
      <c r="S63" s="76">
        <f t="shared" si="5"/>
        <v>0</v>
      </c>
      <c r="T63" s="30">
        <v>213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</row>
    <row r="64" spans="1:94" ht="18.75" x14ac:dyDescent="0.25">
      <c r="A64" s="21" t="s">
        <v>56</v>
      </c>
      <c r="B64" s="21" t="s">
        <v>5</v>
      </c>
      <c r="C64" s="21" t="s">
        <v>180</v>
      </c>
      <c r="D64" s="21" t="s">
        <v>181</v>
      </c>
      <c r="E64" s="21" t="s">
        <v>70</v>
      </c>
      <c r="F64" s="34" t="s">
        <v>182</v>
      </c>
      <c r="G64" s="21" t="s">
        <v>5</v>
      </c>
      <c r="H64" s="21" t="s">
        <v>59</v>
      </c>
      <c r="I64" s="21" t="s">
        <v>803</v>
      </c>
      <c r="J64" s="21" t="s">
        <v>186</v>
      </c>
      <c r="K64" s="21" t="s">
        <v>186</v>
      </c>
      <c r="L64" s="21" t="s">
        <v>1249</v>
      </c>
      <c r="M64" s="21"/>
      <c r="N64" s="77"/>
      <c r="O64" s="80"/>
      <c r="P64" s="80"/>
      <c r="Q64" s="76">
        <f t="shared" si="3"/>
        <v>0</v>
      </c>
      <c r="R64" s="76">
        <f t="shared" si="4"/>
        <v>0</v>
      </c>
      <c r="S64" s="76">
        <f t="shared" si="5"/>
        <v>0</v>
      </c>
      <c r="T64" s="30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</row>
    <row r="65" spans="1:94" ht="18.75" x14ac:dyDescent="0.25">
      <c r="A65" s="21" t="s">
        <v>56</v>
      </c>
      <c r="B65" s="21" t="s">
        <v>5</v>
      </c>
      <c r="C65" s="21" t="s">
        <v>180</v>
      </c>
      <c r="D65" s="21" t="s">
        <v>181</v>
      </c>
      <c r="E65" s="21" t="s">
        <v>70</v>
      </c>
      <c r="F65" s="34" t="s">
        <v>182</v>
      </c>
      <c r="G65" s="21" t="s">
        <v>5</v>
      </c>
      <c r="H65" s="21" t="s">
        <v>62</v>
      </c>
      <c r="I65" s="21" t="s">
        <v>804</v>
      </c>
      <c r="J65" s="21" t="s">
        <v>187</v>
      </c>
      <c r="K65" s="21" t="s">
        <v>187</v>
      </c>
      <c r="L65" s="21" t="s">
        <v>1249</v>
      </c>
      <c r="M65" s="21"/>
      <c r="N65" s="77"/>
      <c r="O65" s="80"/>
      <c r="P65" s="80"/>
      <c r="Q65" s="76">
        <f t="shared" si="3"/>
        <v>0</v>
      </c>
      <c r="R65" s="76">
        <f t="shared" si="4"/>
        <v>0</v>
      </c>
      <c r="S65" s="76">
        <f t="shared" si="5"/>
        <v>0</v>
      </c>
      <c r="T65" s="30">
        <v>227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</row>
    <row r="66" spans="1:94" ht="18.75" x14ac:dyDescent="0.25">
      <c r="A66" s="21" t="s">
        <v>56</v>
      </c>
      <c r="B66" s="21" t="s">
        <v>5</v>
      </c>
      <c r="C66" s="21" t="s">
        <v>180</v>
      </c>
      <c r="D66" s="21" t="s">
        <v>181</v>
      </c>
      <c r="E66" s="21" t="s">
        <v>70</v>
      </c>
      <c r="F66" s="34" t="s">
        <v>182</v>
      </c>
      <c r="G66" s="21" t="s">
        <v>5</v>
      </c>
      <c r="H66" s="21" t="s">
        <v>65</v>
      </c>
      <c r="I66" s="21" t="s">
        <v>805</v>
      </c>
      <c r="J66" s="21" t="s">
        <v>188</v>
      </c>
      <c r="K66" s="21" t="s">
        <v>188</v>
      </c>
      <c r="L66" s="21" t="s">
        <v>1249</v>
      </c>
      <c r="M66" s="21"/>
      <c r="N66" s="77"/>
      <c r="O66" s="80"/>
      <c r="P66" s="80"/>
      <c r="Q66" s="76">
        <f t="shared" si="3"/>
        <v>0</v>
      </c>
      <c r="R66" s="76">
        <f t="shared" si="4"/>
        <v>0</v>
      </c>
      <c r="S66" s="76">
        <f t="shared" si="5"/>
        <v>0</v>
      </c>
      <c r="T66" s="30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16">
        <v>0</v>
      </c>
      <c r="CO66" s="16">
        <v>0</v>
      </c>
      <c r="CP66" s="16">
        <v>0</v>
      </c>
    </row>
    <row r="67" spans="1:94" ht="18.75" x14ac:dyDescent="0.25">
      <c r="A67" s="21" t="s">
        <v>56</v>
      </c>
      <c r="B67" s="21" t="s">
        <v>5</v>
      </c>
      <c r="C67" s="21" t="s">
        <v>180</v>
      </c>
      <c r="D67" s="21" t="s">
        <v>181</v>
      </c>
      <c r="E67" s="21" t="s">
        <v>70</v>
      </c>
      <c r="F67" s="34" t="s">
        <v>182</v>
      </c>
      <c r="G67" s="21" t="s">
        <v>5</v>
      </c>
      <c r="H67" s="21" t="s">
        <v>100</v>
      </c>
      <c r="I67" s="21" t="s">
        <v>806</v>
      </c>
      <c r="J67" s="21" t="s">
        <v>189</v>
      </c>
      <c r="K67" s="21" t="s">
        <v>189</v>
      </c>
      <c r="L67" s="21" t="s">
        <v>1249</v>
      </c>
      <c r="M67" s="21"/>
      <c r="N67" s="77"/>
      <c r="O67" s="80"/>
      <c r="P67" s="80"/>
      <c r="Q67" s="76">
        <f t="shared" ref="Q67:Q98" si="6">IF($H67=0,0,COUNTIF(I:I,I67)-1)</f>
        <v>0</v>
      </c>
      <c r="R67" s="76">
        <f t="shared" ref="R67:R98" si="7">IF($H67=0,0,COUNTIF(J:J,J67)-1)</f>
        <v>0</v>
      </c>
      <c r="S67" s="76">
        <f t="shared" ref="S67:S98" si="8">IF($H67=0,0,COUNTIF(K:K,K67)-1)</f>
        <v>0</v>
      </c>
      <c r="T67" s="30" t="s">
        <v>1230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</row>
    <row r="68" spans="1:94" ht="18.75" x14ac:dyDescent="0.25">
      <c r="A68" s="21" t="s">
        <v>56</v>
      </c>
      <c r="B68" s="21" t="s">
        <v>5</v>
      </c>
      <c r="C68" s="21" t="s">
        <v>180</v>
      </c>
      <c r="D68" s="21" t="s">
        <v>181</v>
      </c>
      <c r="E68" s="21" t="s">
        <v>70</v>
      </c>
      <c r="F68" s="34" t="s">
        <v>182</v>
      </c>
      <c r="G68" s="21" t="s">
        <v>5</v>
      </c>
      <c r="H68" s="21" t="s">
        <v>103</v>
      </c>
      <c r="I68" s="21" t="s">
        <v>807</v>
      </c>
      <c r="J68" s="21" t="s">
        <v>190</v>
      </c>
      <c r="K68" s="21" t="s">
        <v>190</v>
      </c>
      <c r="L68" s="21" t="s">
        <v>1249</v>
      </c>
      <c r="M68" s="21"/>
      <c r="N68" s="77"/>
      <c r="O68" s="80"/>
      <c r="P68" s="80"/>
      <c r="Q68" s="76">
        <f t="shared" si="6"/>
        <v>0</v>
      </c>
      <c r="R68" s="76">
        <f t="shared" si="7"/>
        <v>0</v>
      </c>
      <c r="S68" s="76">
        <f t="shared" si="8"/>
        <v>0</v>
      </c>
      <c r="T68" s="30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</row>
    <row r="69" spans="1:94" ht="18.75" x14ac:dyDescent="0.25">
      <c r="A69" s="21" t="s">
        <v>56</v>
      </c>
      <c r="B69" s="21" t="s">
        <v>5</v>
      </c>
      <c r="C69" s="21" t="s">
        <v>180</v>
      </c>
      <c r="D69" s="21" t="s">
        <v>181</v>
      </c>
      <c r="E69" s="21" t="s">
        <v>70</v>
      </c>
      <c r="F69" s="34" t="s">
        <v>182</v>
      </c>
      <c r="G69" s="21" t="s">
        <v>5</v>
      </c>
      <c r="H69" s="21" t="s">
        <v>106</v>
      </c>
      <c r="I69" s="21" t="s">
        <v>808</v>
      </c>
      <c r="J69" s="21" t="s">
        <v>191</v>
      </c>
      <c r="K69" s="21" t="s">
        <v>191</v>
      </c>
      <c r="L69" s="21" t="s">
        <v>1249</v>
      </c>
      <c r="M69" s="21"/>
      <c r="N69" s="77"/>
      <c r="O69" s="80"/>
      <c r="P69" s="80"/>
      <c r="Q69" s="76">
        <f t="shared" si="6"/>
        <v>0</v>
      </c>
      <c r="R69" s="76">
        <f t="shared" si="7"/>
        <v>0</v>
      </c>
      <c r="S69" s="76">
        <f t="shared" si="8"/>
        <v>0</v>
      </c>
      <c r="T69" s="30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</row>
    <row r="70" spans="1:94" ht="18.75" x14ac:dyDescent="0.25">
      <c r="A70" s="21" t="s">
        <v>56</v>
      </c>
      <c r="B70" s="21" t="s">
        <v>5</v>
      </c>
      <c r="C70" s="21" t="s">
        <v>180</v>
      </c>
      <c r="D70" s="21" t="s">
        <v>181</v>
      </c>
      <c r="E70" s="21" t="s">
        <v>70</v>
      </c>
      <c r="F70" s="34" t="s">
        <v>182</v>
      </c>
      <c r="G70" s="21" t="s">
        <v>5</v>
      </c>
      <c r="H70" s="21" t="s">
        <v>109</v>
      </c>
      <c r="I70" s="21" t="s">
        <v>809</v>
      </c>
      <c r="J70" s="21" t="s">
        <v>192</v>
      </c>
      <c r="K70" s="21" t="s">
        <v>192</v>
      </c>
      <c r="L70" s="21" t="s">
        <v>1249</v>
      </c>
      <c r="M70" s="21"/>
      <c r="N70" s="77"/>
      <c r="O70" s="80"/>
      <c r="P70" s="80"/>
      <c r="Q70" s="76">
        <f t="shared" si="6"/>
        <v>0</v>
      </c>
      <c r="R70" s="76">
        <f t="shared" si="7"/>
        <v>0</v>
      </c>
      <c r="S70" s="76">
        <f t="shared" si="8"/>
        <v>0</v>
      </c>
      <c r="T70" s="30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</row>
    <row r="71" spans="1:94" ht="18.75" x14ac:dyDescent="0.25">
      <c r="A71" s="21" t="s">
        <v>56</v>
      </c>
      <c r="B71" s="21" t="s">
        <v>5</v>
      </c>
      <c r="C71" s="21" t="s">
        <v>180</v>
      </c>
      <c r="D71" s="21" t="s">
        <v>181</v>
      </c>
      <c r="E71" s="21" t="s">
        <v>70</v>
      </c>
      <c r="F71" s="34" t="s">
        <v>182</v>
      </c>
      <c r="G71" s="21" t="s">
        <v>5</v>
      </c>
      <c r="H71" s="21" t="s">
        <v>137</v>
      </c>
      <c r="I71" s="21" t="s">
        <v>810</v>
      </c>
      <c r="J71" s="21" t="s">
        <v>193</v>
      </c>
      <c r="K71" s="21" t="s">
        <v>193</v>
      </c>
      <c r="L71" s="21" t="s">
        <v>1249</v>
      </c>
      <c r="M71" s="21"/>
      <c r="N71" s="77"/>
      <c r="O71" s="80"/>
      <c r="P71" s="80"/>
      <c r="Q71" s="76">
        <f t="shared" si="6"/>
        <v>0</v>
      </c>
      <c r="R71" s="76">
        <f t="shared" si="7"/>
        <v>0</v>
      </c>
      <c r="S71" s="76">
        <f t="shared" si="8"/>
        <v>0</v>
      </c>
      <c r="T71" s="30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</row>
    <row r="72" spans="1:94" ht="18.75" x14ac:dyDescent="0.25">
      <c r="A72" s="21" t="s">
        <v>56</v>
      </c>
      <c r="B72" s="21" t="s">
        <v>5</v>
      </c>
      <c r="C72" s="21" t="s">
        <v>180</v>
      </c>
      <c r="D72" s="21" t="s">
        <v>181</v>
      </c>
      <c r="E72" s="21" t="s">
        <v>70</v>
      </c>
      <c r="F72" s="34" t="s">
        <v>182</v>
      </c>
      <c r="G72" s="21" t="s">
        <v>5</v>
      </c>
      <c r="H72" s="21" t="s">
        <v>139</v>
      </c>
      <c r="I72" s="21" t="s">
        <v>811</v>
      </c>
      <c r="J72" s="21" t="s">
        <v>194</v>
      </c>
      <c r="K72" s="21" t="s">
        <v>194</v>
      </c>
      <c r="L72" s="21" t="s">
        <v>1249</v>
      </c>
      <c r="M72" s="21"/>
      <c r="N72" s="77"/>
      <c r="O72" s="80"/>
      <c r="P72" s="80"/>
      <c r="Q72" s="76">
        <f t="shared" si="6"/>
        <v>0</v>
      </c>
      <c r="R72" s="76">
        <f t="shared" si="7"/>
        <v>0</v>
      </c>
      <c r="S72" s="76">
        <f t="shared" si="8"/>
        <v>0</v>
      </c>
      <c r="T72" s="30">
        <v>242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</row>
    <row r="73" spans="1:94" ht="18.75" x14ac:dyDescent="0.25">
      <c r="A73" s="21" t="s">
        <v>56</v>
      </c>
      <c r="B73" s="21" t="s">
        <v>5</v>
      </c>
      <c r="C73" s="21" t="s">
        <v>180</v>
      </c>
      <c r="D73" s="21" t="s">
        <v>181</v>
      </c>
      <c r="E73" s="21" t="s">
        <v>70</v>
      </c>
      <c r="F73" s="34" t="s">
        <v>182</v>
      </c>
      <c r="G73" s="21" t="s">
        <v>5</v>
      </c>
      <c r="H73" s="21" t="s">
        <v>141</v>
      </c>
      <c r="I73" s="21" t="s">
        <v>812</v>
      </c>
      <c r="J73" s="21" t="s">
        <v>195</v>
      </c>
      <c r="K73" s="21" t="s">
        <v>195</v>
      </c>
      <c r="L73" s="21" t="s">
        <v>1249</v>
      </c>
      <c r="M73" s="21"/>
      <c r="N73" s="77"/>
      <c r="O73" s="80"/>
      <c r="P73" s="80"/>
      <c r="Q73" s="76">
        <f t="shared" si="6"/>
        <v>0</v>
      </c>
      <c r="R73" s="76">
        <f t="shared" si="7"/>
        <v>0</v>
      </c>
      <c r="S73" s="76">
        <f t="shared" si="8"/>
        <v>0</v>
      </c>
      <c r="T73" s="30">
        <v>247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</row>
    <row r="74" spans="1:94" ht="18.75" x14ac:dyDescent="0.25">
      <c r="A74" s="21" t="s">
        <v>56</v>
      </c>
      <c r="B74" s="21" t="s">
        <v>5</v>
      </c>
      <c r="C74" s="21" t="s">
        <v>180</v>
      </c>
      <c r="D74" s="21" t="s">
        <v>181</v>
      </c>
      <c r="E74" s="21" t="s">
        <v>70</v>
      </c>
      <c r="F74" s="34" t="s">
        <v>182</v>
      </c>
      <c r="G74" s="21" t="s">
        <v>5</v>
      </c>
      <c r="H74" s="21" t="s">
        <v>143</v>
      </c>
      <c r="I74" s="21" t="s">
        <v>813</v>
      </c>
      <c r="J74" s="21" t="s">
        <v>196</v>
      </c>
      <c r="K74" s="21" t="s">
        <v>196</v>
      </c>
      <c r="L74" s="21" t="s">
        <v>1249</v>
      </c>
      <c r="M74" s="21"/>
      <c r="N74" s="77"/>
      <c r="O74" s="80"/>
      <c r="P74" s="80"/>
      <c r="Q74" s="76">
        <f t="shared" si="6"/>
        <v>0</v>
      </c>
      <c r="R74" s="76">
        <f t="shared" si="7"/>
        <v>0</v>
      </c>
      <c r="S74" s="76">
        <f t="shared" si="8"/>
        <v>0</v>
      </c>
      <c r="T74" s="30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0</v>
      </c>
      <c r="CO74" s="16">
        <v>0</v>
      </c>
      <c r="CP74" s="16">
        <v>0</v>
      </c>
    </row>
    <row r="75" spans="1:94" ht="18.75" x14ac:dyDescent="0.25">
      <c r="A75" s="21" t="s">
        <v>56</v>
      </c>
      <c r="B75" s="21" t="s">
        <v>5</v>
      </c>
      <c r="C75" s="21" t="s">
        <v>180</v>
      </c>
      <c r="D75" s="21" t="s">
        <v>181</v>
      </c>
      <c r="E75" s="21" t="s">
        <v>70</v>
      </c>
      <c r="F75" s="34" t="s">
        <v>182</v>
      </c>
      <c r="G75" s="21" t="s">
        <v>5</v>
      </c>
      <c r="H75" s="21" t="s">
        <v>145</v>
      </c>
      <c r="I75" s="21" t="s">
        <v>814</v>
      </c>
      <c r="J75" s="21" t="s">
        <v>197</v>
      </c>
      <c r="K75" s="21" t="s">
        <v>197</v>
      </c>
      <c r="L75" s="21" t="s">
        <v>1249</v>
      </c>
      <c r="M75" s="21"/>
      <c r="N75" s="77"/>
      <c r="O75" s="80"/>
      <c r="P75" s="80"/>
      <c r="Q75" s="76">
        <f t="shared" si="6"/>
        <v>0</v>
      </c>
      <c r="R75" s="76">
        <f t="shared" si="7"/>
        <v>0</v>
      </c>
      <c r="S75" s="76">
        <f t="shared" si="8"/>
        <v>0</v>
      </c>
      <c r="T75" s="30">
        <v>263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</row>
    <row r="76" spans="1:94" ht="18.75" x14ac:dyDescent="0.25">
      <c r="A76" s="21" t="s">
        <v>56</v>
      </c>
      <c r="B76" s="21" t="s">
        <v>5</v>
      </c>
      <c r="C76" s="21" t="s">
        <v>198</v>
      </c>
      <c r="D76" s="21" t="s">
        <v>199</v>
      </c>
      <c r="E76" s="21" t="s">
        <v>70</v>
      </c>
      <c r="F76" s="34" t="s">
        <v>200</v>
      </c>
      <c r="G76" s="21" t="s">
        <v>201</v>
      </c>
      <c r="H76" s="21" t="s">
        <v>51</v>
      </c>
      <c r="I76" s="21" t="s">
        <v>815</v>
      </c>
      <c r="J76" s="21" t="s">
        <v>816</v>
      </c>
      <c r="K76" s="21" t="s">
        <v>202</v>
      </c>
      <c r="L76" s="21"/>
      <c r="M76" s="21"/>
      <c r="N76" s="77"/>
      <c r="O76" s="80"/>
      <c r="P76" s="80"/>
      <c r="Q76" s="76">
        <f t="shared" si="6"/>
        <v>0</v>
      </c>
      <c r="R76" s="76">
        <f t="shared" si="7"/>
        <v>0</v>
      </c>
      <c r="S76" s="76">
        <f t="shared" si="8"/>
        <v>0</v>
      </c>
      <c r="T76" s="30">
        <v>500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</row>
    <row r="77" spans="1:94" ht="18.75" x14ac:dyDescent="0.25">
      <c r="A77" s="21" t="s">
        <v>56</v>
      </c>
      <c r="B77" s="21" t="s">
        <v>5</v>
      </c>
      <c r="C77" s="21" t="s">
        <v>198</v>
      </c>
      <c r="D77" s="21" t="s">
        <v>199</v>
      </c>
      <c r="E77" s="21" t="s">
        <v>70</v>
      </c>
      <c r="F77" s="34" t="s">
        <v>200</v>
      </c>
      <c r="G77" s="21" t="s">
        <v>201</v>
      </c>
      <c r="H77" s="21" t="s">
        <v>53</v>
      </c>
      <c r="I77" s="21" t="s">
        <v>817</v>
      </c>
      <c r="J77" s="21" t="s">
        <v>818</v>
      </c>
      <c r="K77" s="21" t="s">
        <v>203</v>
      </c>
      <c r="L77" s="21"/>
      <c r="M77" s="21"/>
      <c r="N77" s="77"/>
      <c r="O77" s="80"/>
      <c r="P77" s="80"/>
      <c r="Q77" s="76">
        <f t="shared" si="6"/>
        <v>0</v>
      </c>
      <c r="R77" s="76">
        <f t="shared" si="7"/>
        <v>0</v>
      </c>
      <c r="S77" s="76">
        <f t="shared" si="8"/>
        <v>0</v>
      </c>
      <c r="T77" s="30">
        <v>2.38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</row>
    <row r="78" spans="1:94" ht="18.75" x14ac:dyDescent="0.25">
      <c r="A78" s="21" t="s">
        <v>56</v>
      </c>
      <c r="B78" s="21" t="s">
        <v>5</v>
      </c>
      <c r="C78" s="21" t="s">
        <v>198</v>
      </c>
      <c r="D78" s="21" t="s">
        <v>199</v>
      </c>
      <c r="E78" s="21" t="s">
        <v>70</v>
      </c>
      <c r="F78" s="34" t="s">
        <v>200</v>
      </c>
      <c r="G78" s="21" t="s">
        <v>201</v>
      </c>
      <c r="H78" s="21" t="s">
        <v>56</v>
      </c>
      <c r="I78" s="21" t="s">
        <v>819</v>
      </c>
      <c r="J78" s="21" t="s">
        <v>820</v>
      </c>
      <c r="K78" s="21" t="s">
        <v>204</v>
      </c>
      <c r="L78" s="21"/>
      <c r="M78" s="21"/>
      <c r="N78" s="77"/>
      <c r="O78" s="80"/>
      <c r="P78" s="80"/>
      <c r="Q78" s="76">
        <f t="shared" si="6"/>
        <v>0</v>
      </c>
      <c r="R78" s="76">
        <f t="shared" si="7"/>
        <v>0</v>
      </c>
      <c r="S78" s="76">
        <f t="shared" si="8"/>
        <v>0</v>
      </c>
      <c r="T78" s="30">
        <v>31</v>
      </c>
      <c r="U78" s="16">
        <v>0</v>
      </c>
      <c r="V78" s="16">
        <v>1</v>
      </c>
      <c r="W78" s="16">
        <v>1</v>
      </c>
      <c r="X78" s="16">
        <v>1</v>
      </c>
      <c r="Y78" s="16">
        <v>1</v>
      </c>
      <c r="Z78" s="16">
        <v>1</v>
      </c>
      <c r="AA78" s="16">
        <v>1</v>
      </c>
      <c r="AB78" s="16">
        <v>1</v>
      </c>
      <c r="AC78" s="16">
        <v>0</v>
      </c>
      <c r="AD78" s="16">
        <v>0</v>
      </c>
      <c r="AE78" s="16">
        <v>1</v>
      </c>
      <c r="AF78" s="16">
        <v>1</v>
      </c>
      <c r="AG78" s="16">
        <v>1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1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</row>
    <row r="79" spans="1:94" ht="18.75" x14ac:dyDescent="0.25">
      <c r="A79" s="21" t="s">
        <v>56</v>
      </c>
      <c r="B79" s="21" t="s">
        <v>5</v>
      </c>
      <c r="C79" s="21" t="s">
        <v>198</v>
      </c>
      <c r="D79" s="21" t="s">
        <v>199</v>
      </c>
      <c r="E79" s="21" t="s">
        <v>70</v>
      </c>
      <c r="F79" s="34" t="s">
        <v>200</v>
      </c>
      <c r="G79" s="21" t="s">
        <v>201</v>
      </c>
      <c r="H79" s="21" t="s">
        <v>59</v>
      </c>
      <c r="I79" s="21" t="s">
        <v>821</v>
      </c>
      <c r="J79" s="21" t="s">
        <v>822</v>
      </c>
      <c r="K79" s="21" t="s">
        <v>205</v>
      </c>
      <c r="L79" s="21"/>
      <c r="M79" s="21"/>
      <c r="N79" s="77"/>
      <c r="O79" s="80"/>
      <c r="P79" s="80"/>
      <c r="Q79" s="76">
        <f t="shared" si="6"/>
        <v>0</v>
      </c>
      <c r="R79" s="76">
        <f t="shared" si="7"/>
        <v>0</v>
      </c>
      <c r="S79" s="76">
        <f t="shared" si="8"/>
        <v>0</v>
      </c>
      <c r="T79" s="30">
        <v>31.5</v>
      </c>
      <c r="U79" s="16">
        <v>0</v>
      </c>
      <c r="V79" s="16">
        <v>1</v>
      </c>
      <c r="W79" s="16">
        <v>1</v>
      </c>
      <c r="X79" s="16">
        <v>1</v>
      </c>
      <c r="Y79" s="16">
        <v>1</v>
      </c>
      <c r="Z79" s="16">
        <v>1</v>
      </c>
      <c r="AA79" s="16">
        <v>1</v>
      </c>
      <c r="AB79" s="16">
        <v>1</v>
      </c>
      <c r="AC79" s="16">
        <v>0</v>
      </c>
      <c r="AD79" s="16">
        <v>0</v>
      </c>
      <c r="AE79" s="16">
        <v>1</v>
      </c>
      <c r="AF79" s="16">
        <v>1</v>
      </c>
      <c r="AG79" s="16">
        <v>1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1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</row>
    <row r="80" spans="1:94" ht="18.75" x14ac:dyDescent="0.25">
      <c r="A80" s="23" t="s">
        <v>56</v>
      </c>
      <c r="B80" s="23" t="s">
        <v>5</v>
      </c>
      <c r="C80" s="23" t="s">
        <v>198</v>
      </c>
      <c r="D80" s="23" t="s">
        <v>199</v>
      </c>
      <c r="E80" s="23" t="s">
        <v>70</v>
      </c>
      <c r="F80" s="36" t="s">
        <v>200</v>
      </c>
      <c r="G80" s="23" t="s">
        <v>201</v>
      </c>
      <c r="H80" s="23" t="s">
        <v>62</v>
      </c>
      <c r="I80" s="23" t="s">
        <v>823</v>
      </c>
      <c r="J80" s="23" t="s">
        <v>206</v>
      </c>
      <c r="K80" s="23" t="s">
        <v>207</v>
      </c>
      <c r="L80" s="23"/>
      <c r="M80" s="23"/>
      <c r="N80" s="77"/>
      <c r="O80" s="80"/>
      <c r="P80" s="80"/>
      <c r="Q80" s="76">
        <f t="shared" si="6"/>
        <v>0</v>
      </c>
      <c r="R80" s="76">
        <f t="shared" si="7"/>
        <v>0</v>
      </c>
      <c r="S80" s="76">
        <f t="shared" si="8"/>
        <v>0</v>
      </c>
      <c r="T80" s="58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0</v>
      </c>
      <c r="CO80" s="16">
        <v>0</v>
      </c>
      <c r="CP80" s="16">
        <v>0</v>
      </c>
    </row>
    <row r="81" spans="1:94" ht="18.75" x14ac:dyDescent="0.25">
      <c r="A81" s="21" t="s">
        <v>56</v>
      </c>
      <c r="B81" s="21" t="s">
        <v>5</v>
      </c>
      <c r="C81" s="21" t="s">
        <v>198</v>
      </c>
      <c r="D81" s="21" t="s">
        <v>199</v>
      </c>
      <c r="E81" s="21" t="s">
        <v>70</v>
      </c>
      <c r="F81" s="34" t="s">
        <v>200</v>
      </c>
      <c r="G81" s="21" t="s">
        <v>201</v>
      </c>
      <c r="H81" s="21" t="s">
        <v>65</v>
      </c>
      <c r="I81" s="21" t="s">
        <v>824</v>
      </c>
      <c r="J81" s="21" t="s">
        <v>208</v>
      </c>
      <c r="K81" s="21" t="s">
        <v>209</v>
      </c>
      <c r="L81" s="21"/>
      <c r="M81" s="21"/>
      <c r="N81" s="77"/>
      <c r="O81" s="80"/>
      <c r="P81" s="80"/>
      <c r="Q81" s="76">
        <f t="shared" si="6"/>
        <v>0</v>
      </c>
      <c r="R81" s="76">
        <f t="shared" si="7"/>
        <v>0</v>
      </c>
      <c r="S81" s="76">
        <f t="shared" si="8"/>
        <v>0</v>
      </c>
      <c r="T81" s="42">
        <v>200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0</v>
      </c>
      <c r="CN81" s="16">
        <v>0</v>
      </c>
      <c r="CO81" s="16">
        <v>0</v>
      </c>
      <c r="CP81" s="16">
        <v>0</v>
      </c>
    </row>
    <row r="82" spans="1:94" ht="18.75" x14ac:dyDescent="0.25">
      <c r="A82" s="21" t="s">
        <v>56</v>
      </c>
      <c r="B82" s="21" t="s">
        <v>5</v>
      </c>
      <c r="C82" s="21" t="s">
        <v>198</v>
      </c>
      <c r="D82" s="21" t="s">
        <v>199</v>
      </c>
      <c r="E82" s="21" t="s">
        <v>70</v>
      </c>
      <c r="F82" s="34" t="s">
        <v>200</v>
      </c>
      <c r="G82" s="21" t="s">
        <v>201</v>
      </c>
      <c r="H82" s="21" t="s">
        <v>100</v>
      </c>
      <c r="I82" s="21" t="s">
        <v>825</v>
      </c>
      <c r="J82" s="21" t="s">
        <v>826</v>
      </c>
      <c r="K82" s="21" t="s">
        <v>210</v>
      </c>
      <c r="L82" s="21"/>
      <c r="M82" s="21"/>
      <c r="N82" s="77"/>
      <c r="O82" s="80"/>
      <c r="P82" s="80"/>
      <c r="Q82" s="76">
        <f t="shared" si="6"/>
        <v>0</v>
      </c>
      <c r="R82" s="76">
        <f t="shared" si="7"/>
        <v>0</v>
      </c>
      <c r="S82" s="76">
        <f t="shared" si="8"/>
        <v>0</v>
      </c>
      <c r="T82" s="30">
        <v>31</v>
      </c>
      <c r="U82" s="16">
        <v>0</v>
      </c>
      <c r="V82" s="16">
        <v>1</v>
      </c>
      <c r="W82" s="16">
        <v>1</v>
      </c>
      <c r="X82" s="16">
        <v>1</v>
      </c>
      <c r="Y82" s="16">
        <v>1</v>
      </c>
      <c r="Z82" s="16">
        <v>1</v>
      </c>
      <c r="AA82" s="16">
        <v>1</v>
      </c>
      <c r="AB82" s="16">
        <v>1</v>
      </c>
      <c r="AC82" s="16">
        <v>0</v>
      </c>
      <c r="AD82" s="16">
        <v>0</v>
      </c>
      <c r="AE82" s="16">
        <v>1</v>
      </c>
      <c r="AF82" s="16">
        <v>1</v>
      </c>
      <c r="AG82" s="16">
        <v>1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1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0</v>
      </c>
      <c r="CP82" s="16">
        <v>0</v>
      </c>
    </row>
    <row r="83" spans="1:94" ht="18.75" x14ac:dyDescent="0.25">
      <c r="A83" s="21" t="s">
        <v>59</v>
      </c>
      <c r="B83" s="21" t="s">
        <v>6</v>
      </c>
      <c r="C83" s="21" t="s">
        <v>155</v>
      </c>
      <c r="D83" s="21" t="s">
        <v>211</v>
      </c>
      <c r="E83" s="21" t="s">
        <v>70</v>
      </c>
      <c r="F83" s="34" t="s">
        <v>212</v>
      </c>
      <c r="G83" s="21" t="s">
        <v>213</v>
      </c>
      <c r="H83" s="21" t="s">
        <v>51</v>
      </c>
      <c r="I83" s="21" t="s">
        <v>827</v>
      </c>
      <c r="J83" s="21" t="s">
        <v>828</v>
      </c>
      <c r="K83" s="21" t="s">
        <v>214</v>
      </c>
      <c r="L83" s="21" t="s">
        <v>1245</v>
      </c>
      <c r="M83" s="21"/>
      <c r="N83" s="77"/>
      <c r="O83" s="80"/>
      <c r="P83" s="80"/>
      <c r="Q83" s="76">
        <f t="shared" si="6"/>
        <v>0</v>
      </c>
      <c r="R83" s="76">
        <f t="shared" si="7"/>
        <v>0</v>
      </c>
      <c r="S83" s="76">
        <f t="shared" si="8"/>
        <v>0</v>
      </c>
      <c r="T83" s="30" t="s">
        <v>1486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</row>
    <row r="84" spans="1:94" ht="18.75" x14ac:dyDescent="0.25">
      <c r="A84" s="21" t="s">
        <v>59</v>
      </c>
      <c r="B84" s="21" t="s">
        <v>6</v>
      </c>
      <c r="C84" s="21" t="s">
        <v>155</v>
      </c>
      <c r="D84" s="21" t="s">
        <v>211</v>
      </c>
      <c r="E84" s="21" t="s">
        <v>70</v>
      </c>
      <c r="F84" s="34" t="s">
        <v>212</v>
      </c>
      <c r="G84" s="21" t="s">
        <v>213</v>
      </c>
      <c r="H84" s="21" t="s">
        <v>53</v>
      </c>
      <c r="I84" s="21" t="s">
        <v>829</v>
      </c>
      <c r="J84" s="21" t="s">
        <v>830</v>
      </c>
      <c r="K84" s="21" t="s">
        <v>215</v>
      </c>
      <c r="L84" s="21" t="s">
        <v>1245</v>
      </c>
      <c r="M84" s="21"/>
      <c r="N84" s="77"/>
      <c r="O84" s="80"/>
      <c r="P84" s="80"/>
      <c r="Q84" s="76">
        <f t="shared" si="6"/>
        <v>0</v>
      </c>
      <c r="R84" s="76">
        <f t="shared" si="7"/>
        <v>0</v>
      </c>
      <c r="S84" s="76">
        <f t="shared" si="8"/>
        <v>0</v>
      </c>
      <c r="T84" s="30" t="s">
        <v>1487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</row>
    <row r="85" spans="1:94" ht="18.75" x14ac:dyDescent="0.25">
      <c r="A85" s="21" t="s">
        <v>59</v>
      </c>
      <c r="B85" s="21" t="s">
        <v>6</v>
      </c>
      <c r="C85" s="21" t="s">
        <v>155</v>
      </c>
      <c r="D85" s="21" t="s">
        <v>211</v>
      </c>
      <c r="E85" s="21" t="s">
        <v>70</v>
      </c>
      <c r="F85" s="34" t="s">
        <v>212</v>
      </c>
      <c r="G85" s="21" t="s">
        <v>213</v>
      </c>
      <c r="H85" s="21" t="s">
        <v>56</v>
      </c>
      <c r="I85" s="21" t="s">
        <v>831</v>
      </c>
      <c r="J85" s="21" t="s">
        <v>832</v>
      </c>
      <c r="K85" s="21" t="s">
        <v>216</v>
      </c>
      <c r="L85" s="21" t="s">
        <v>1245</v>
      </c>
      <c r="M85" s="21"/>
      <c r="N85" s="77"/>
      <c r="O85" s="80"/>
      <c r="P85" s="80"/>
      <c r="Q85" s="76">
        <f t="shared" si="6"/>
        <v>0</v>
      </c>
      <c r="R85" s="76">
        <f t="shared" si="7"/>
        <v>0</v>
      </c>
      <c r="S85" s="76">
        <f t="shared" si="8"/>
        <v>0</v>
      </c>
      <c r="T85" s="30" t="s">
        <v>1488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</row>
    <row r="86" spans="1:94" ht="18.75" x14ac:dyDescent="0.25">
      <c r="A86" s="21" t="s">
        <v>59</v>
      </c>
      <c r="B86" s="21" t="s">
        <v>6</v>
      </c>
      <c r="C86" s="21" t="s">
        <v>155</v>
      </c>
      <c r="D86" s="21" t="s">
        <v>211</v>
      </c>
      <c r="E86" s="21" t="s">
        <v>70</v>
      </c>
      <c r="F86" s="34" t="s">
        <v>212</v>
      </c>
      <c r="G86" s="21" t="s">
        <v>213</v>
      </c>
      <c r="H86" s="21" t="s">
        <v>59</v>
      </c>
      <c r="I86" s="21" t="s">
        <v>833</v>
      </c>
      <c r="J86" s="21" t="s">
        <v>834</v>
      </c>
      <c r="K86" s="21" t="s">
        <v>217</v>
      </c>
      <c r="L86" s="21" t="s">
        <v>1245</v>
      </c>
      <c r="M86" s="21"/>
      <c r="N86" s="77"/>
      <c r="O86" s="80"/>
      <c r="P86" s="80"/>
      <c r="Q86" s="76">
        <f t="shared" si="6"/>
        <v>0</v>
      </c>
      <c r="R86" s="76">
        <f t="shared" si="7"/>
        <v>0</v>
      </c>
      <c r="S86" s="76">
        <f t="shared" si="8"/>
        <v>0</v>
      </c>
      <c r="T86" s="30">
        <v>2.15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</row>
    <row r="87" spans="1:94" ht="18.75" x14ac:dyDescent="0.25">
      <c r="A87" s="21" t="s">
        <v>59</v>
      </c>
      <c r="B87" s="21" t="s">
        <v>6</v>
      </c>
      <c r="C87" s="21" t="s">
        <v>155</v>
      </c>
      <c r="D87" s="21" t="s">
        <v>211</v>
      </c>
      <c r="E87" s="21" t="s">
        <v>70</v>
      </c>
      <c r="F87" s="34" t="s">
        <v>212</v>
      </c>
      <c r="G87" s="21" t="s">
        <v>213</v>
      </c>
      <c r="H87" s="21" t="s">
        <v>62</v>
      </c>
      <c r="I87" s="21" t="s">
        <v>835</v>
      </c>
      <c r="J87" s="21" t="s">
        <v>836</v>
      </c>
      <c r="K87" s="21" t="s">
        <v>218</v>
      </c>
      <c r="L87" s="21" t="s">
        <v>1245</v>
      </c>
      <c r="M87" s="21"/>
      <c r="N87" s="77"/>
      <c r="O87" s="80"/>
      <c r="P87" s="80"/>
      <c r="Q87" s="76">
        <f t="shared" si="6"/>
        <v>0</v>
      </c>
      <c r="R87" s="76">
        <f t="shared" si="7"/>
        <v>0</v>
      </c>
      <c r="S87" s="76">
        <f t="shared" si="8"/>
        <v>0</v>
      </c>
      <c r="T87" s="42">
        <v>1.75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</row>
    <row r="88" spans="1:94" ht="18.75" x14ac:dyDescent="0.25">
      <c r="A88" s="21" t="s">
        <v>59</v>
      </c>
      <c r="B88" s="21" t="s">
        <v>6</v>
      </c>
      <c r="C88" s="21" t="s">
        <v>155</v>
      </c>
      <c r="D88" s="21" t="s">
        <v>211</v>
      </c>
      <c r="E88" s="21" t="s">
        <v>70</v>
      </c>
      <c r="F88" s="34" t="s">
        <v>212</v>
      </c>
      <c r="G88" s="21" t="s">
        <v>213</v>
      </c>
      <c r="H88" s="21" t="s">
        <v>65</v>
      </c>
      <c r="I88" s="21" t="s">
        <v>837</v>
      </c>
      <c r="J88" s="21" t="s">
        <v>838</v>
      </c>
      <c r="K88" s="21" t="s">
        <v>219</v>
      </c>
      <c r="L88" s="21" t="s">
        <v>1245</v>
      </c>
      <c r="M88" s="21"/>
      <c r="N88" s="77"/>
      <c r="O88" s="80"/>
      <c r="P88" s="80"/>
      <c r="Q88" s="76">
        <f t="shared" si="6"/>
        <v>0</v>
      </c>
      <c r="R88" s="76">
        <f t="shared" si="7"/>
        <v>0</v>
      </c>
      <c r="S88" s="76">
        <f t="shared" si="8"/>
        <v>0</v>
      </c>
      <c r="T88" s="42">
        <v>1.7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6">
        <v>0</v>
      </c>
      <c r="CP88" s="16">
        <v>0</v>
      </c>
    </row>
    <row r="89" spans="1:94" ht="18.75" x14ac:dyDescent="0.25">
      <c r="A89" s="21" t="s">
        <v>59</v>
      </c>
      <c r="B89" s="21" t="s">
        <v>6</v>
      </c>
      <c r="C89" s="21" t="s">
        <v>155</v>
      </c>
      <c r="D89" s="21" t="s">
        <v>211</v>
      </c>
      <c r="E89" s="21" t="s">
        <v>70</v>
      </c>
      <c r="F89" s="34" t="s">
        <v>212</v>
      </c>
      <c r="G89" s="21" t="s">
        <v>213</v>
      </c>
      <c r="H89" s="21" t="s">
        <v>100</v>
      </c>
      <c r="I89" s="21" t="s">
        <v>839</v>
      </c>
      <c r="J89" s="21" t="s">
        <v>840</v>
      </c>
      <c r="K89" s="21" t="s">
        <v>220</v>
      </c>
      <c r="L89" s="21" t="s">
        <v>1245</v>
      </c>
      <c r="M89" s="21"/>
      <c r="N89" s="77"/>
      <c r="O89" s="80"/>
      <c r="P89" s="80"/>
      <c r="Q89" s="76">
        <f t="shared" si="6"/>
        <v>0</v>
      </c>
      <c r="R89" s="76">
        <f t="shared" si="7"/>
        <v>0</v>
      </c>
      <c r="S89" s="76">
        <f t="shared" si="8"/>
        <v>0</v>
      </c>
      <c r="T89" s="30" t="s">
        <v>1485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0</v>
      </c>
      <c r="CM89" s="16">
        <v>0</v>
      </c>
      <c r="CN89" s="16">
        <v>0</v>
      </c>
      <c r="CO89" s="16">
        <v>0</v>
      </c>
      <c r="CP89" s="16">
        <v>0</v>
      </c>
    </row>
    <row r="90" spans="1:94" ht="18.75" x14ac:dyDescent="0.25">
      <c r="A90" s="21" t="s">
        <v>59</v>
      </c>
      <c r="B90" s="21" t="s">
        <v>6</v>
      </c>
      <c r="C90" s="21" t="s">
        <v>155</v>
      </c>
      <c r="D90" s="21" t="s">
        <v>211</v>
      </c>
      <c r="E90" s="21" t="s">
        <v>70</v>
      </c>
      <c r="F90" s="34" t="s">
        <v>212</v>
      </c>
      <c r="G90" s="21" t="s">
        <v>213</v>
      </c>
      <c r="H90" s="21" t="s">
        <v>103</v>
      </c>
      <c r="I90" s="21" t="s">
        <v>841</v>
      </c>
      <c r="J90" s="21" t="s">
        <v>842</v>
      </c>
      <c r="K90" s="21" t="s">
        <v>221</v>
      </c>
      <c r="L90" s="21" t="s">
        <v>1245</v>
      </c>
      <c r="M90" s="21"/>
      <c r="N90" s="77"/>
      <c r="O90" s="80"/>
      <c r="P90" s="80"/>
      <c r="Q90" s="76">
        <f t="shared" si="6"/>
        <v>0</v>
      </c>
      <c r="R90" s="76">
        <f t="shared" si="7"/>
        <v>0</v>
      </c>
      <c r="S90" s="76">
        <f t="shared" si="8"/>
        <v>0</v>
      </c>
      <c r="T90" s="30">
        <v>2.65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</row>
    <row r="91" spans="1:94" ht="18.75" x14ac:dyDescent="0.25">
      <c r="A91" s="21" t="s">
        <v>59</v>
      </c>
      <c r="B91" s="21" t="s">
        <v>6</v>
      </c>
      <c r="C91" s="21" t="s">
        <v>155</v>
      </c>
      <c r="D91" s="21" t="s">
        <v>211</v>
      </c>
      <c r="E91" s="21" t="s">
        <v>70</v>
      </c>
      <c r="F91" s="34" t="s">
        <v>212</v>
      </c>
      <c r="G91" s="21" t="s">
        <v>213</v>
      </c>
      <c r="H91" s="21" t="s">
        <v>106</v>
      </c>
      <c r="I91" s="21" t="s">
        <v>843</v>
      </c>
      <c r="J91" s="21" t="s">
        <v>844</v>
      </c>
      <c r="K91" s="21" t="s">
        <v>222</v>
      </c>
      <c r="L91" s="21" t="s">
        <v>1245</v>
      </c>
      <c r="M91" s="21"/>
      <c r="N91" s="77"/>
      <c r="O91" s="80"/>
      <c r="P91" s="80"/>
      <c r="Q91" s="76">
        <f t="shared" si="6"/>
        <v>0</v>
      </c>
      <c r="R91" s="76">
        <f t="shared" si="7"/>
        <v>0</v>
      </c>
      <c r="S91" s="76">
        <f t="shared" si="8"/>
        <v>0</v>
      </c>
      <c r="T91" s="30">
        <v>3.3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</row>
    <row r="92" spans="1:94" ht="18.75" x14ac:dyDescent="0.25">
      <c r="A92" s="21" t="s">
        <v>59</v>
      </c>
      <c r="B92" s="21" t="s">
        <v>6</v>
      </c>
      <c r="C92" s="21" t="s">
        <v>155</v>
      </c>
      <c r="D92" s="21" t="s">
        <v>211</v>
      </c>
      <c r="E92" s="21" t="s">
        <v>70</v>
      </c>
      <c r="F92" s="34" t="s">
        <v>212</v>
      </c>
      <c r="G92" s="21" t="s">
        <v>213</v>
      </c>
      <c r="H92" s="21" t="s">
        <v>109</v>
      </c>
      <c r="I92" s="21" t="s">
        <v>1160</v>
      </c>
      <c r="J92" s="21" t="s">
        <v>1161</v>
      </c>
      <c r="K92" s="21" t="s">
        <v>1162</v>
      </c>
      <c r="L92" s="21" t="s">
        <v>1245</v>
      </c>
      <c r="M92" s="21"/>
      <c r="N92" s="77"/>
      <c r="O92" s="80"/>
      <c r="P92" s="80"/>
      <c r="Q92" s="76">
        <f t="shared" si="6"/>
        <v>0</v>
      </c>
      <c r="R92" s="76">
        <f t="shared" si="7"/>
        <v>0</v>
      </c>
      <c r="S92" s="76">
        <f t="shared" si="8"/>
        <v>0</v>
      </c>
      <c r="T92" s="30" t="s">
        <v>1489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</row>
    <row r="93" spans="1:94" ht="18.75" x14ac:dyDescent="0.25">
      <c r="A93" s="21" t="s">
        <v>59</v>
      </c>
      <c r="B93" s="21" t="s">
        <v>6</v>
      </c>
      <c r="C93" s="21" t="s">
        <v>223</v>
      </c>
      <c r="D93" s="21" t="s">
        <v>224</v>
      </c>
      <c r="E93" s="21" t="s">
        <v>70</v>
      </c>
      <c r="F93" s="34" t="s">
        <v>225</v>
      </c>
      <c r="G93" s="21" t="s">
        <v>226</v>
      </c>
      <c r="H93" s="21" t="s">
        <v>51</v>
      </c>
      <c r="I93" s="21" t="s">
        <v>845</v>
      </c>
      <c r="J93" s="21" t="s">
        <v>227</v>
      </c>
      <c r="K93" s="21" t="s">
        <v>228</v>
      </c>
      <c r="L93" s="21" t="s">
        <v>1245</v>
      </c>
      <c r="M93" s="21"/>
      <c r="N93" s="77"/>
      <c r="O93" s="80"/>
      <c r="P93" s="80"/>
      <c r="Q93" s="76">
        <f t="shared" si="6"/>
        <v>0</v>
      </c>
      <c r="R93" s="76">
        <f t="shared" si="7"/>
        <v>0</v>
      </c>
      <c r="S93" s="76">
        <f t="shared" si="8"/>
        <v>0</v>
      </c>
      <c r="T93" s="30">
        <v>0.7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</row>
    <row r="94" spans="1:94" ht="18.75" x14ac:dyDescent="0.25">
      <c r="A94" s="21" t="s">
        <v>59</v>
      </c>
      <c r="B94" s="21" t="s">
        <v>6</v>
      </c>
      <c r="C94" s="21" t="s">
        <v>223</v>
      </c>
      <c r="D94" s="21" t="s">
        <v>224</v>
      </c>
      <c r="E94" s="21" t="s">
        <v>70</v>
      </c>
      <c r="F94" s="34" t="s">
        <v>225</v>
      </c>
      <c r="G94" s="21" t="s">
        <v>226</v>
      </c>
      <c r="H94" s="21" t="s">
        <v>53</v>
      </c>
      <c r="I94" s="21" t="s">
        <v>846</v>
      </c>
      <c r="J94" s="21" t="s">
        <v>1168</v>
      </c>
      <c r="K94" s="21" t="s">
        <v>229</v>
      </c>
      <c r="L94" s="21" t="s">
        <v>1245</v>
      </c>
      <c r="M94" s="21"/>
      <c r="N94" s="77"/>
      <c r="O94" s="80"/>
      <c r="P94" s="80"/>
      <c r="Q94" s="76">
        <f t="shared" si="6"/>
        <v>0</v>
      </c>
      <c r="R94" s="76">
        <f t="shared" si="7"/>
        <v>0</v>
      </c>
      <c r="S94" s="76">
        <f t="shared" si="8"/>
        <v>0</v>
      </c>
      <c r="T94" s="30">
        <v>1.1399999999999999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</row>
    <row r="95" spans="1:94" ht="18.75" x14ac:dyDescent="0.25">
      <c r="A95" s="21" t="s">
        <v>59</v>
      </c>
      <c r="B95" s="21" t="s">
        <v>6</v>
      </c>
      <c r="C95" s="21" t="s">
        <v>223</v>
      </c>
      <c r="D95" s="21" t="s">
        <v>224</v>
      </c>
      <c r="E95" s="21" t="s">
        <v>70</v>
      </c>
      <c r="F95" s="34" t="s">
        <v>225</v>
      </c>
      <c r="G95" s="21" t="s">
        <v>226</v>
      </c>
      <c r="H95" s="21" t="s">
        <v>56</v>
      </c>
      <c r="I95" s="21" t="s">
        <v>847</v>
      </c>
      <c r="J95" s="21" t="s">
        <v>230</v>
      </c>
      <c r="K95" s="21" t="s">
        <v>231</v>
      </c>
      <c r="L95" s="21" t="s">
        <v>1245</v>
      </c>
      <c r="M95" s="21"/>
      <c r="N95" s="77"/>
      <c r="O95" s="80"/>
      <c r="P95" s="80"/>
      <c r="Q95" s="76">
        <f t="shared" si="6"/>
        <v>0</v>
      </c>
      <c r="R95" s="76">
        <f t="shared" si="7"/>
        <v>0</v>
      </c>
      <c r="S95" s="76">
        <f t="shared" si="8"/>
        <v>0</v>
      </c>
      <c r="T95" s="30">
        <v>4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</row>
    <row r="96" spans="1:94" ht="18.75" x14ac:dyDescent="0.25">
      <c r="A96" s="21" t="s">
        <v>59</v>
      </c>
      <c r="B96" s="21" t="s">
        <v>6</v>
      </c>
      <c r="C96" s="21" t="s">
        <v>223</v>
      </c>
      <c r="D96" s="21" t="s">
        <v>224</v>
      </c>
      <c r="E96" s="21" t="s">
        <v>70</v>
      </c>
      <c r="F96" s="34" t="s">
        <v>225</v>
      </c>
      <c r="G96" s="21" t="s">
        <v>226</v>
      </c>
      <c r="H96" s="21" t="s">
        <v>59</v>
      </c>
      <c r="I96" s="21" t="s">
        <v>848</v>
      </c>
      <c r="J96" s="21" t="s">
        <v>232</v>
      </c>
      <c r="K96" s="21" t="s">
        <v>233</v>
      </c>
      <c r="L96" s="21" t="s">
        <v>1245</v>
      </c>
      <c r="M96" s="21"/>
      <c r="N96" s="77"/>
      <c r="O96" s="80"/>
      <c r="P96" s="80"/>
      <c r="Q96" s="76">
        <f t="shared" si="6"/>
        <v>0</v>
      </c>
      <c r="R96" s="76">
        <f t="shared" si="7"/>
        <v>0</v>
      </c>
      <c r="S96" s="76">
        <f t="shared" si="8"/>
        <v>0</v>
      </c>
      <c r="T96" s="30">
        <v>3.4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0</v>
      </c>
      <c r="CP96" s="16">
        <v>0</v>
      </c>
    </row>
    <row r="97" spans="1:94" ht="18.75" x14ac:dyDescent="0.25">
      <c r="A97" s="21" t="s">
        <v>59</v>
      </c>
      <c r="B97" s="21" t="s">
        <v>6</v>
      </c>
      <c r="C97" s="21" t="s">
        <v>223</v>
      </c>
      <c r="D97" s="21" t="s">
        <v>224</v>
      </c>
      <c r="E97" s="21" t="s">
        <v>70</v>
      </c>
      <c r="F97" s="34" t="s">
        <v>225</v>
      </c>
      <c r="G97" s="21" t="s">
        <v>226</v>
      </c>
      <c r="H97" s="21" t="s">
        <v>62</v>
      </c>
      <c r="I97" s="21" t="s">
        <v>849</v>
      </c>
      <c r="J97" s="21" t="s">
        <v>234</v>
      </c>
      <c r="K97" s="21" t="s">
        <v>235</v>
      </c>
      <c r="L97" s="21" t="s">
        <v>1245</v>
      </c>
      <c r="M97" s="21"/>
      <c r="N97" s="77"/>
      <c r="O97" s="80"/>
      <c r="P97" s="80"/>
      <c r="Q97" s="76">
        <f t="shared" si="6"/>
        <v>0</v>
      </c>
      <c r="R97" s="76">
        <f t="shared" si="7"/>
        <v>0</v>
      </c>
      <c r="S97" s="76">
        <f t="shared" si="8"/>
        <v>0</v>
      </c>
      <c r="T97" s="30">
        <v>3.2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</row>
    <row r="98" spans="1:94" ht="18.75" x14ac:dyDescent="0.25">
      <c r="A98" s="21" t="s">
        <v>59</v>
      </c>
      <c r="B98" s="21" t="s">
        <v>6</v>
      </c>
      <c r="C98" s="21" t="s">
        <v>223</v>
      </c>
      <c r="D98" s="21" t="s">
        <v>224</v>
      </c>
      <c r="E98" s="21" t="s">
        <v>70</v>
      </c>
      <c r="F98" s="34" t="s">
        <v>225</v>
      </c>
      <c r="G98" s="21" t="s">
        <v>226</v>
      </c>
      <c r="H98" s="21" t="s">
        <v>65</v>
      </c>
      <c r="I98" s="21" t="s">
        <v>850</v>
      </c>
      <c r="J98" s="21" t="s">
        <v>236</v>
      </c>
      <c r="K98" s="21" t="s">
        <v>237</v>
      </c>
      <c r="L98" s="21" t="s">
        <v>1245</v>
      </c>
      <c r="M98" s="21"/>
      <c r="N98" s="77"/>
      <c r="O98" s="80"/>
      <c r="P98" s="80"/>
      <c r="Q98" s="76">
        <f t="shared" si="6"/>
        <v>0</v>
      </c>
      <c r="R98" s="76">
        <f t="shared" si="7"/>
        <v>0</v>
      </c>
      <c r="S98" s="76">
        <f t="shared" si="8"/>
        <v>0</v>
      </c>
      <c r="T98" s="30">
        <v>3.15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</row>
    <row r="99" spans="1:94" ht="21" x14ac:dyDescent="0.25">
      <c r="A99" s="21" t="s">
        <v>59</v>
      </c>
      <c r="B99" s="21" t="s">
        <v>6</v>
      </c>
      <c r="C99" s="21" t="s">
        <v>223</v>
      </c>
      <c r="D99" s="21" t="s">
        <v>224</v>
      </c>
      <c r="E99" s="21" t="s">
        <v>70</v>
      </c>
      <c r="F99" s="34" t="s">
        <v>225</v>
      </c>
      <c r="G99" s="21" t="s">
        <v>226</v>
      </c>
      <c r="H99" s="21" t="s">
        <v>100</v>
      </c>
      <c r="I99" s="21" t="s">
        <v>851</v>
      </c>
      <c r="J99" s="43" t="s">
        <v>1226</v>
      </c>
      <c r="K99" s="21" t="s">
        <v>238</v>
      </c>
      <c r="L99" s="21" t="s">
        <v>1245</v>
      </c>
      <c r="M99" s="21"/>
      <c r="N99" s="77"/>
      <c r="O99" s="80"/>
      <c r="P99" s="80"/>
      <c r="Q99" s="76">
        <f t="shared" ref="Q99:Q127" si="9">IF($H99=0,0,COUNTIF(I:I,I99)-1)</f>
        <v>0</v>
      </c>
      <c r="R99" s="76">
        <f t="shared" ref="R99:R127" si="10">IF($H99=0,0,COUNTIF(J:J,J99)-1)</f>
        <v>0</v>
      </c>
      <c r="S99" s="76">
        <f t="shared" ref="S99:S127" si="11">IF($H99=0,0,COUNTIF(K:K,K99)-1)</f>
        <v>0</v>
      </c>
      <c r="T99" s="30">
        <v>0.7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</row>
    <row r="100" spans="1:94" ht="18.75" x14ac:dyDescent="0.25">
      <c r="A100" s="21" t="s">
        <v>59</v>
      </c>
      <c r="B100" s="21" t="s">
        <v>6</v>
      </c>
      <c r="C100" s="21" t="s">
        <v>223</v>
      </c>
      <c r="D100" s="21" t="s">
        <v>224</v>
      </c>
      <c r="E100" s="21" t="s">
        <v>70</v>
      </c>
      <c r="F100" s="34" t="s">
        <v>225</v>
      </c>
      <c r="G100" s="21" t="s">
        <v>226</v>
      </c>
      <c r="H100" s="21" t="s">
        <v>106</v>
      </c>
      <c r="I100" s="21" t="s">
        <v>852</v>
      </c>
      <c r="J100" s="21" t="s">
        <v>853</v>
      </c>
      <c r="K100" s="21" t="s">
        <v>239</v>
      </c>
      <c r="L100" s="21"/>
      <c r="M100" s="21"/>
      <c r="N100" s="77"/>
      <c r="O100" s="80"/>
      <c r="P100" s="80"/>
      <c r="Q100" s="76">
        <f t="shared" si="9"/>
        <v>0</v>
      </c>
      <c r="R100" s="76">
        <f t="shared" si="10"/>
        <v>0</v>
      </c>
      <c r="S100" s="76">
        <f t="shared" si="11"/>
        <v>0</v>
      </c>
      <c r="T100" s="30">
        <v>12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</row>
    <row r="101" spans="1:94" ht="18.75" x14ac:dyDescent="0.25">
      <c r="A101" s="21" t="s">
        <v>59</v>
      </c>
      <c r="B101" s="21" t="s">
        <v>6</v>
      </c>
      <c r="C101" s="21" t="s">
        <v>223</v>
      </c>
      <c r="D101" s="21" t="s">
        <v>224</v>
      </c>
      <c r="E101" s="21" t="s">
        <v>70</v>
      </c>
      <c r="F101" s="34" t="s">
        <v>225</v>
      </c>
      <c r="G101" s="21" t="s">
        <v>226</v>
      </c>
      <c r="H101" s="21" t="s">
        <v>109</v>
      </c>
      <c r="I101" s="21" t="s">
        <v>854</v>
      </c>
      <c r="J101" s="21" t="s">
        <v>240</v>
      </c>
      <c r="K101" s="21" t="s">
        <v>241</v>
      </c>
      <c r="L101" s="21" t="s">
        <v>1245</v>
      </c>
      <c r="M101" s="21"/>
      <c r="N101" s="77"/>
      <c r="O101" s="80"/>
      <c r="P101" s="80"/>
      <c r="Q101" s="76">
        <f t="shared" si="9"/>
        <v>0</v>
      </c>
      <c r="R101" s="76">
        <f t="shared" si="10"/>
        <v>0</v>
      </c>
      <c r="S101" s="76">
        <f t="shared" si="11"/>
        <v>0</v>
      </c>
      <c r="T101" s="30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v>0</v>
      </c>
      <c r="CM101" s="16">
        <v>0</v>
      </c>
      <c r="CN101" s="16">
        <v>0</v>
      </c>
      <c r="CO101" s="16">
        <v>0</v>
      </c>
      <c r="CP101" s="16">
        <v>0</v>
      </c>
    </row>
    <row r="102" spans="1:94" ht="18.75" x14ac:dyDescent="0.25">
      <c r="A102" s="21" t="s">
        <v>62</v>
      </c>
      <c r="B102" s="21" t="s">
        <v>7</v>
      </c>
      <c r="C102" s="21" t="s">
        <v>68</v>
      </c>
      <c r="D102" s="21" t="s">
        <v>242</v>
      </c>
      <c r="E102" s="21" t="s">
        <v>70</v>
      </c>
      <c r="F102" s="34" t="s">
        <v>243</v>
      </c>
      <c r="G102" s="21" t="s">
        <v>244</v>
      </c>
      <c r="H102" s="21" t="s">
        <v>51</v>
      </c>
      <c r="I102" s="21" t="s">
        <v>855</v>
      </c>
      <c r="J102" s="21" t="s">
        <v>245</v>
      </c>
      <c r="K102" s="21" t="s">
        <v>246</v>
      </c>
      <c r="L102" s="21"/>
      <c r="M102" s="21"/>
      <c r="N102" s="77"/>
      <c r="O102" s="80"/>
      <c r="P102" s="80"/>
      <c r="Q102" s="76">
        <f t="shared" si="9"/>
        <v>0</v>
      </c>
      <c r="R102" s="76">
        <f t="shared" si="10"/>
        <v>0</v>
      </c>
      <c r="S102" s="76">
        <f t="shared" si="11"/>
        <v>0</v>
      </c>
      <c r="T102" s="30">
        <v>1</v>
      </c>
      <c r="U102" s="16">
        <v>0</v>
      </c>
      <c r="V102" s="16">
        <v>1</v>
      </c>
      <c r="W102" s="16">
        <v>1</v>
      </c>
      <c r="X102" s="16">
        <v>1</v>
      </c>
      <c r="Y102" s="16">
        <v>1</v>
      </c>
      <c r="Z102" s="16">
        <v>1</v>
      </c>
      <c r="AA102" s="16">
        <v>1</v>
      </c>
      <c r="AB102" s="16">
        <v>1</v>
      </c>
      <c r="AC102" s="16">
        <v>0</v>
      </c>
      <c r="AD102" s="16">
        <v>0</v>
      </c>
      <c r="AE102" s="16">
        <v>1</v>
      </c>
      <c r="AF102" s="16">
        <v>1</v>
      </c>
      <c r="AG102" s="16">
        <v>1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1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0</v>
      </c>
      <c r="CP102" s="16">
        <v>0</v>
      </c>
    </row>
    <row r="103" spans="1:94" ht="18.75" x14ac:dyDescent="0.25">
      <c r="A103" s="21" t="s">
        <v>62</v>
      </c>
      <c r="B103" s="21" t="s">
        <v>7</v>
      </c>
      <c r="C103" s="21" t="s">
        <v>68</v>
      </c>
      <c r="D103" s="21" t="s">
        <v>242</v>
      </c>
      <c r="E103" s="21" t="s">
        <v>70</v>
      </c>
      <c r="F103" s="34" t="s">
        <v>243</v>
      </c>
      <c r="G103" s="21" t="s">
        <v>244</v>
      </c>
      <c r="H103" s="21" t="s">
        <v>53</v>
      </c>
      <c r="I103" s="21" t="s">
        <v>856</v>
      </c>
      <c r="J103" s="21" t="s">
        <v>247</v>
      </c>
      <c r="K103" s="21" t="s">
        <v>248</v>
      </c>
      <c r="L103" s="21"/>
      <c r="M103" s="21"/>
      <c r="N103" s="77"/>
      <c r="O103" s="80"/>
      <c r="P103" s="80"/>
      <c r="Q103" s="76">
        <f t="shared" si="9"/>
        <v>0</v>
      </c>
      <c r="R103" s="76">
        <f t="shared" si="10"/>
        <v>0</v>
      </c>
      <c r="S103" s="76">
        <f t="shared" si="11"/>
        <v>0</v>
      </c>
      <c r="T103" s="30">
        <v>1</v>
      </c>
      <c r="U103" s="16">
        <v>0</v>
      </c>
      <c r="V103" s="16">
        <v>1</v>
      </c>
      <c r="W103" s="16">
        <v>1</v>
      </c>
      <c r="X103" s="16">
        <v>1</v>
      </c>
      <c r="Y103" s="16">
        <v>1</v>
      </c>
      <c r="Z103" s="16">
        <v>1</v>
      </c>
      <c r="AA103" s="16">
        <v>1</v>
      </c>
      <c r="AB103" s="16">
        <v>1</v>
      </c>
      <c r="AC103" s="16">
        <v>0</v>
      </c>
      <c r="AD103" s="16">
        <v>0</v>
      </c>
      <c r="AE103" s="16">
        <v>1</v>
      </c>
      <c r="AF103" s="16">
        <v>1</v>
      </c>
      <c r="AG103" s="16">
        <v>1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1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</row>
    <row r="104" spans="1:94" ht="18.75" x14ac:dyDescent="0.25">
      <c r="A104" s="21" t="s">
        <v>62</v>
      </c>
      <c r="B104" s="21" t="s">
        <v>7</v>
      </c>
      <c r="C104" s="21" t="s">
        <v>68</v>
      </c>
      <c r="D104" s="21" t="s">
        <v>242</v>
      </c>
      <c r="E104" s="21" t="s">
        <v>70</v>
      </c>
      <c r="F104" s="34" t="s">
        <v>243</v>
      </c>
      <c r="G104" s="21" t="s">
        <v>244</v>
      </c>
      <c r="H104" s="21" t="s">
        <v>56</v>
      </c>
      <c r="I104" s="21" t="s">
        <v>857</v>
      </c>
      <c r="J104" s="21" t="s">
        <v>249</v>
      </c>
      <c r="K104" s="21" t="s">
        <v>250</v>
      </c>
      <c r="L104" s="21"/>
      <c r="M104" s="21"/>
      <c r="N104" s="77"/>
      <c r="O104" s="80"/>
      <c r="P104" s="80"/>
      <c r="Q104" s="76">
        <f t="shared" si="9"/>
        <v>0</v>
      </c>
      <c r="R104" s="76">
        <f t="shared" si="10"/>
        <v>0</v>
      </c>
      <c r="S104" s="76">
        <f t="shared" si="11"/>
        <v>0</v>
      </c>
      <c r="T104" s="30">
        <v>1</v>
      </c>
      <c r="U104" s="16">
        <v>0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0</v>
      </c>
      <c r="AD104" s="16">
        <v>0</v>
      </c>
      <c r="AE104" s="16">
        <v>1</v>
      </c>
      <c r="AF104" s="16">
        <v>1</v>
      </c>
      <c r="AG104" s="16">
        <v>1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1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</row>
    <row r="105" spans="1:94" ht="18.75" x14ac:dyDescent="0.25">
      <c r="A105" s="21" t="s">
        <v>62</v>
      </c>
      <c r="B105" s="21" t="s">
        <v>7</v>
      </c>
      <c r="C105" s="21" t="s">
        <v>68</v>
      </c>
      <c r="D105" s="21" t="s">
        <v>242</v>
      </c>
      <c r="E105" s="21" t="s">
        <v>70</v>
      </c>
      <c r="F105" s="34" t="s">
        <v>243</v>
      </c>
      <c r="G105" s="21" t="s">
        <v>244</v>
      </c>
      <c r="H105" s="21" t="s">
        <v>59</v>
      </c>
      <c r="I105" s="21" t="s">
        <v>858</v>
      </c>
      <c r="J105" s="21" t="s">
        <v>251</v>
      </c>
      <c r="K105" s="21" t="s">
        <v>252</v>
      </c>
      <c r="L105" s="21"/>
      <c r="M105" s="21"/>
      <c r="N105" s="77"/>
      <c r="O105" s="80"/>
      <c r="P105" s="80"/>
      <c r="Q105" s="76">
        <f t="shared" si="9"/>
        <v>0</v>
      </c>
      <c r="R105" s="76">
        <f t="shared" si="10"/>
        <v>0</v>
      </c>
      <c r="S105" s="76">
        <f t="shared" si="11"/>
        <v>0</v>
      </c>
      <c r="T105" s="30">
        <v>1</v>
      </c>
      <c r="U105" s="16">
        <v>0</v>
      </c>
      <c r="V105" s="16">
        <v>1</v>
      </c>
      <c r="W105" s="16">
        <v>1</v>
      </c>
      <c r="X105" s="16">
        <v>1</v>
      </c>
      <c r="Y105" s="16">
        <v>1</v>
      </c>
      <c r="Z105" s="16">
        <v>1</v>
      </c>
      <c r="AA105" s="16">
        <v>1</v>
      </c>
      <c r="AB105" s="16">
        <v>1</v>
      </c>
      <c r="AC105" s="16">
        <v>0</v>
      </c>
      <c r="AD105" s="16">
        <v>0</v>
      </c>
      <c r="AE105" s="16">
        <v>1</v>
      </c>
      <c r="AF105" s="16">
        <v>1</v>
      </c>
      <c r="AG105" s="16">
        <v>1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1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</row>
    <row r="106" spans="1:94" ht="18.75" x14ac:dyDescent="0.25">
      <c r="A106" s="21" t="s">
        <v>62</v>
      </c>
      <c r="B106" s="21" t="s">
        <v>7</v>
      </c>
      <c r="C106" s="21" t="s">
        <v>68</v>
      </c>
      <c r="D106" s="21" t="s">
        <v>242</v>
      </c>
      <c r="E106" s="21" t="s">
        <v>70</v>
      </c>
      <c r="F106" s="34" t="s">
        <v>243</v>
      </c>
      <c r="G106" s="21" t="s">
        <v>244</v>
      </c>
      <c r="H106" s="21" t="s">
        <v>62</v>
      </c>
      <c r="I106" s="21" t="s">
        <v>859</v>
      </c>
      <c r="J106" s="21" t="s">
        <v>253</v>
      </c>
      <c r="K106" s="21" t="s">
        <v>254</v>
      </c>
      <c r="L106" s="21"/>
      <c r="M106" s="21"/>
      <c r="N106" s="77"/>
      <c r="O106" s="80"/>
      <c r="P106" s="80"/>
      <c r="Q106" s="76">
        <f t="shared" si="9"/>
        <v>0</v>
      </c>
      <c r="R106" s="76">
        <f t="shared" si="10"/>
        <v>0</v>
      </c>
      <c r="S106" s="76">
        <f t="shared" si="11"/>
        <v>0</v>
      </c>
      <c r="T106" s="30">
        <v>1</v>
      </c>
      <c r="U106" s="16">
        <v>0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0</v>
      </c>
      <c r="AD106" s="16">
        <v>0</v>
      </c>
      <c r="AE106" s="16">
        <v>1</v>
      </c>
      <c r="AF106" s="16">
        <v>1</v>
      </c>
      <c r="AG106" s="16">
        <v>1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1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</row>
    <row r="107" spans="1:94" ht="30" x14ac:dyDescent="0.25">
      <c r="A107" s="21" t="s">
        <v>62</v>
      </c>
      <c r="B107" s="21" t="s">
        <v>7</v>
      </c>
      <c r="C107" s="21" t="s">
        <v>68</v>
      </c>
      <c r="D107" s="21" t="s">
        <v>242</v>
      </c>
      <c r="E107" s="21" t="s">
        <v>70</v>
      </c>
      <c r="F107" s="34" t="s">
        <v>243</v>
      </c>
      <c r="G107" s="21" t="s">
        <v>244</v>
      </c>
      <c r="H107" s="21" t="s">
        <v>65</v>
      </c>
      <c r="I107" s="21" t="s">
        <v>860</v>
      </c>
      <c r="J107" s="21" t="s">
        <v>255</v>
      </c>
      <c r="K107" s="21" t="s">
        <v>256</v>
      </c>
      <c r="L107" s="21"/>
      <c r="M107" s="21" t="s">
        <v>1243</v>
      </c>
      <c r="N107" s="77"/>
      <c r="O107" s="80"/>
      <c r="P107" s="80"/>
      <c r="Q107" s="76">
        <f t="shared" si="9"/>
        <v>0</v>
      </c>
      <c r="R107" s="76">
        <f t="shared" si="10"/>
        <v>0</v>
      </c>
      <c r="S107" s="76">
        <f t="shared" si="11"/>
        <v>0</v>
      </c>
      <c r="T107" s="30">
        <v>1</v>
      </c>
      <c r="U107" s="16">
        <v>0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0</v>
      </c>
      <c r="AD107" s="16">
        <v>0</v>
      </c>
      <c r="AE107" s="16">
        <v>1</v>
      </c>
      <c r="AF107" s="16">
        <v>1</v>
      </c>
      <c r="AG107" s="16">
        <v>1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</row>
    <row r="108" spans="1:94" ht="30" x14ac:dyDescent="0.25">
      <c r="A108" s="21" t="s">
        <v>62</v>
      </c>
      <c r="B108" s="21" t="s">
        <v>7</v>
      </c>
      <c r="C108" s="21" t="s">
        <v>68</v>
      </c>
      <c r="D108" s="21" t="s">
        <v>242</v>
      </c>
      <c r="E108" s="21" t="s">
        <v>70</v>
      </c>
      <c r="F108" s="34" t="s">
        <v>243</v>
      </c>
      <c r="G108" s="21" t="s">
        <v>244</v>
      </c>
      <c r="H108" s="21" t="s">
        <v>100</v>
      </c>
      <c r="I108" s="21" t="s">
        <v>861</v>
      </c>
      <c r="J108" s="21" t="s">
        <v>257</v>
      </c>
      <c r="K108" s="21" t="s">
        <v>258</v>
      </c>
      <c r="L108" s="21"/>
      <c r="M108" s="21" t="s">
        <v>1243</v>
      </c>
      <c r="N108" s="77"/>
      <c r="O108" s="80"/>
      <c r="P108" s="80"/>
      <c r="Q108" s="76">
        <f t="shared" si="9"/>
        <v>0</v>
      </c>
      <c r="R108" s="76">
        <f t="shared" si="10"/>
        <v>0</v>
      </c>
      <c r="S108" s="76">
        <f t="shared" si="11"/>
        <v>0</v>
      </c>
      <c r="T108" s="30">
        <v>1</v>
      </c>
      <c r="U108" s="16">
        <v>0</v>
      </c>
      <c r="V108" s="16">
        <v>1</v>
      </c>
      <c r="W108" s="16">
        <v>1</v>
      </c>
      <c r="X108" s="16">
        <v>1</v>
      </c>
      <c r="Y108" s="16">
        <v>1</v>
      </c>
      <c r="Z108" s="16">
        <v>1</v>
      </c>
      <c r="AA108" s="16">
        <v>1</v>
      </c>
      <c r="AB108" s="16">
        <v>1</v>
      </c>
      <c r="AC108" s="16">
        <v>0</v>
      </c>
      <c r="AD108" s="16">
        <v>0</v>
      </c>
      <c r="AE108" s="16">
        <v>1</v>
      </c>
      <c r="AF108" s="16">
        <v>1</v>
      </c>
      <c r="AG108" s="16">
        <v>1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1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</row>
    <row r="109" spans="1:94" ht="18.75" x14ac:dyDescent="0.25">
      <c r="A109" s="21" t="s">
        <v>100</v>
      </c>
      <c r="B109" s="21" t="s">
        <v>9</v>
      </c>
      <c r="C109" s="21" t="s">
        <v>109</v>
      </c>
      <c r="D109" s="21" t="s">
        <v>259</v>
      </c>
      <c r="E109" s="21" t="s">
        <v>70</v>
      </c>
      <c r="F109" s="34" t="s">
        <v>260</v>
      </c>
      <c r="G109" s="21" t="s">
        <v>261</v>
      </c>
      <c r="H109" s="21" t="s">
        <v>51</v>
      </c>
      <c r="I109" s="21" t="s">
        <v>862</v>
      </c>
      <c r="J109" s="21" t="s">
        <v>262</v>
      </c>
      <c r="K109" s="21" t="s">
        <v>263</v>
      </c>
      <c r="L109" s="21"/>
      <c r="M109" s="21"/>
      <c r="N109" s="77"/>
      <c r="O109" s="80"/>
      <c r="P109" s="80"/>
      <c r="Q109" s="76">
        <f t="shared" si="9"/>
        <v>0</v>
      </c>
      <c r="R109" s="76">
        <f t="shared" si="10"/>
        <v>0</v>
      </c>
      <c r="S109" s="76">
        <f t="shared" si="11"/>
        <v>0</v>
      </c>
      <c r="T109" s="30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6">
        <v>0</v>
      </c>
    </row>
    <row r="110" spans="1:94" ht="18.75" x14ac:dyDescent="0.25">
      <c r="A110" s="21" t="s">
        <v>100</v>
      </c>
      <c r="B110" s="21" t="s">
        <v>9</v>
      </c>
      <c r="C110" s="21" t="s">
        <v>109</v>
      </c>
      <c r="D110" s="21" t="s">
        <v>259</v>
      </c>
      <c r="E110" s="21" t="s">
        <v>70</v>
      </c>
      <c r="F110" s="34" t="s">
        <v>260</v>
      </c>
      <c r="G110" s="21" t="s">
        <v>261</v>
      </c>
      <c r="H110" s="21" t="s">
        <v>53</v>
      </c>
      <c r="I110" s="21" t="s">
        <v>863</v>
      </c>
      <c r="J110" s="21" t="s">
        <v>264</v>
      </c>
      <c r="K110" s="21" t="s">
        <v>265</v>
      </c>
      <c r="L110" s="21"/>
      <c r="M110" s="21"/>
      <c r="N110" s="77"/>
      <c r="O110" s="80"/>
      <c r="P110" s="80"/>
      <c r="Q110" s="76">
        <f t="shared" si="9"/>
        <v>0</v>
      </c>
      <c r="R110" s="76">
        <f t="shared" si="10"/>
        <v>0</v>
      </c>
      <c r="S110" s="76">
        <f t="shared" si="11"/>
        <v>0</v>
      </c>
      <c r="T110" s="30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</row>
    <row r="111" spans="1:94" ht="18.75" x14ac:dyDescent="0.25">
      <c r="A111" s="21" t="s">
        <v>100</v>
      </c>
      <c r="B111" s="21" t="s">
        <v>9</v>
      </c>
      <c r="C111" s="21" t="s">
        <v>109</v>
      </c>
      <c r="D111" s="21" t="s">
        <v>259</v>
      </c>
      <c r="E111" s="21" t="s">
        <v>70</v>
      </c>
      <c r="F111" s="34" t="s">
        <v>260</v>
      </c>
      <c r="G111" s="21" t="s">
        <v>261</v>
      </c>
      <c r="H111" s="21" t="s">
        <v>56</v>
      </c>
      <c r="I111" s="21" t="s">
        <v>864</v>
      </c>
      <c r="J111" s="21" t="s">
        <v>266</v>
      </c>
      <c r="K111" s="21" t="s">
        <v>267</v>
      </c>
      <c r="L111" s="21"/>
      <c r="M111" s="21"/>
      <c r="N111" s="77"/>
      <c r="O111" s="80"/>
      <c r="P111" s="80"/>
      <c r="Q111" s="76">
        <f t="shared" si="9"/>
        <v>0</v>
      </c>
      <c r="R111" s="76">
        <f t="shared" si="10"/>
        <v>0</v>
      </c>
      <c r="S111" s="76">
        <f t="shared" si="11"/>
        <v>0</v>
      </c>
      <c r="T111" s="30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</row>
    <row r="112" spans="1:94" ht="18.75" x14ac:dyDescent="0.25">
      <c r="A112" s="21" t="s">
        <v>100</v>
      </c>
      <c r="B112" s="21" t="s">
        <v>9</v>
      </c>
      <c r="C112" s="21" t="s">
        <v>109</v>
      </c>
      <c r="D112" s="21" t="s">
        <v>259</v>
      </c>
      <c r="E112" s="21" t="s">
        <v>70</v>
      </c>
      <c r="F112" s="34" t="s">
        <v>260</v>
      </c>
      <c r="G112" s="21" t="s">
        <v>261</v>
      </c>
      <c r="H112" s="21" t="s">
        <v>59</v>
      </c>
      <c r="I112" s="21" t="s">
        <v>865</v>
      </c>
      <c r="J112" s="21" t="s">
        <v>268</v>
      </c>
      <c r="K112" s="21" t="s">
        <v>269</v>
      </c>
      <c r="L112" s="21"/>
      <c r="M112" s="21"/>
      <c r="N112" s="77"/>
      <c r="O112" s="80"/>
      <c r="P112" s="80"/>
      <c r="Q112" s="76">
        <f t="shared" si="9"/>
        <v>0</v>
      </c>
      <c r="R112" s="76">
        <f t="shared" si="10"/>
        <v>0</v>
      </c>
      <c r="S112" s="76">
        <f t="shared" si="11"/>
        <v>0</v>
      </c>
      <c r="T112" s="30" t="s">
        <v>1230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</row>
    <row r="113" spans="1:94" ht="18.75" x14ac:dyDescent="0.25">
      <c r="A113" s="21" t="s">
        <v>100</v>
      </c>
      <c r="B113" s="21" t="s">
        <v>9</v>
      </c>
      <c r="C113" s="21" t="s">
        <v>109</v>
      </c>
      <c r="D113" s="21" t="s">
        <v>259</v>
      </c>
      <c r="E113" s="21" t="s">
        <v>70</v>
      </c>
      <c r="F113" s="34" t="s">
        <v>260</v>
      </c>
      <c r="G113" s="21" t="s">
        <v>261</v>
      </c>
      <c r="H113" s="21" t="s">
        <v>62</v>
      </c>
      <c r="I113" s="21" t="s">
        <v>866</v>
      </c>
      <c r="J113" s="21" t="s">
        <v>270</v>
      </c>
      <c r="K113" s="21" t="s">
        <v>271</v>
      </c>
      <c r="L113" s="21"/>
      <c r="M113" s="21"/>
      <c r="N113" s="77"/>
      <c r="O113" s="80"/>
      <c r="P113" s="80"/>
      <c r="Q113" s="76">
        <f t="shared" si="9"/>
        <v>0</v>
      </c>
      <c r="R113" s="76">
        <f t="shared" si="10"/>
        <v>0</v>
      </c>
      <c r="S113" s="76">
        <f t="shared" si="11"/>
        <v>0</v>
      </c>
      <c r="T113" s="30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</row>
    <row r="114" spans="1:94" ht="18.75" x14ac:dyDescent="0.25">
      <c r="A114" s="21" t="s">
        <v>100</v>
      </c>
      <c r="B114" s="21" t="s">
        <v>9</v>
      </c>
      <c r="C114" s="21" t="s">
        <v>155</v>
      </c>
      <c r="D114" s="21" t="s">
        <v>272</v>
      </c>
      <c r="E114" s="21" t="s">
        <v>70</v>
      </c>
      <c r="F114" s="34" t="s">
        <v>260</v>
      </c>
      <c r="G114" s="21" t="s">
        <v>261</v>
      </c>
      <c r="H114" s="21" t="s">
        <v>103</v>
      </c>
      <c r="I114" s="21" t="s">
        <v>867</v>
      </c>
      <c r="J114" s="21" t="s">
        <v>868</v>
      </c>
      <c r="K114" s="21" t="s">
        <v>273</v>
      </c>
      <c r="L114" s="21"/>
      <c r="M114" s="21"/>
      <c r="N114" s="77"/>
      <c r="O114" s="80"/>
      <c r="P114" s="80"/>
      <c r="Q114" s="76">
        <f t="shared" si="9"/>
        <v>0</v>
      </c>
      <c r="R114" s="76">
        <f t="shared" si="10"/>
        <v>0</v>
      </c>
      <c r="S114" s="76">
        <f t="shared" si="11"/>
        <v>0</v>
      </c>
      <c r="T114" s="30">
        <v>280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1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</row>
    <row r="115" spans="1:94" ht="18.75" x14ac:dyDescent="0.25">
      <c r="A115" s="21" t="s">
        <v>100</v>
      </c>
      <c r="B115" s="21" t="s">
        <v>9</v>
      </c>
      <c r="C115" s="21" t="s">
        <v>155</v>
      </c>
      <c r="D115" s="21" t="s">
        <v>272</v>
      </c>
      <c r="E115" s="21" t="s">
        <v>70</v>
      </c>
      <c r="F115" s="34" t="s">
        <v>260</v>
      </c>
      <c r="G115" s="21" t="s">
        <v>261</v>
      </c>
      <c r="H115" s="21" t="s">
        <v>106</v>
      </c>
      <c r="I115" s="21" t="s">
        <v>869</v>
      </c>
      <c r="J115" s="21" t="s">
        <v>870</v>
      </c>
      <c r="K115" s="21" t="s">
        <v>274</v>
      </c>
      <c r="L115" s="21"/>
      <c r="M115" s="21"/>
      <c r="N115" s="77"/>
      <c r="O115" s="80"/>
      <c r="P115" s="80"/>
      <c r="Q115" s="76">
        <f t="shared" si="9"/>
        <v>0</v>
      </c>
      <c r="R115" s="76">
        <f t="shared" si="10"/>
        <v>0</v>
      </c>
      <c r="S115" s="76">
        <f t="shared" si="11"/>
        <v>0</v>
      </c>
      <c r="T115" s="30">
        <v>45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1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0</v>
      </c>
    </row>
    <row r="116" spans="1:94" ht="18.75" x14ac:dyDescent="0.25">
      <c r="A116" s="21" t="s">
        <v>100</v>
      </c>
      <c r="B116" s="21" t="s">
        <v>9</v>
      </c>
      <c r="C116" s="21" t="s">
        <v>155</v>
      </c>
      <c r="D116" s="21" t="s">
        <v>272</v>
      </c>
      <c r="E116" s="21" t="s">
        <v>70</v>
      </c>
      <c r="F116" s="34" t="s">
        <v>260</v>
      </c>
      <c r="G116" s="21" t="s">
        <v>261</v>
      </c>
      <c r="H116" s="21" t="s">
        <v>109</v>
      </c>
      <c r="I116" s="21" t="s">
        <v>871</v>
      </c>
      <c r="J116" s="21" t="s">
        <v>872</v>
      </c>
      <c r="K116" s="21" t="s">
        <v>275</v>
      </c>
      <c r="L116" s="21"/>
      <c r="M116" s="21"/>
      <c r="N116" s="77"/>
      <c r="O116" s="80"/>
      <c r="P116" s="80"/>
      <c r="Q116" s="76">
        <f t="shared" si="9"/>
        <v>0</v>
      </c>
      <c r="R116" s="76">
        <f t="shared" si="10"/>
        <v>0</v>
      </c>
      <c r="S116" s="76">
        <f t="shared" si="11"/>
        <v>0</v>
      </c>
      <c r="T116" s="30">
        <v>750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1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</row>
    <row r="117" spans="1:94" ht="18.75" x14ac:dyDescent="0.25">
      <c r="A117" s="24" t="s">
        <v>106</v>
      </c>
      <c r="B117" s="24" t="s">
        <v>11</v>
      </c>
      <c r="C117" s="24" t="s">
        <v>155</v>
      </c>
      <c r="D117" s="24" t="s">
        <v>276</v>
      </c>
      <c r="E117" s="24" t="s">
        <v>70</v>
      </c>
      <c r="F117" s="37" t="s">
        <v>277</v>
      </c>
      <c r="G117" s="24" t="s">
        <v>278</v>
      </c>
      <c r="H117" s="24" t="s">
        <v>51</v>
      </c>
      <c r="I117" s="24" t="s">
        <v>873</v>
      </c>
      <c r="J117" s="24" t="s">
        <v>1658</v>
      </c>
      <c r="K117" s="24" t="s">
        <v>279</v>
      </c>
      <c r="L117" s="24"/>
      <c r="M117" s="24"/>
      <c r="N117" s="77"/>
      <c r="O117" s="80"/>
      <c r="P117" s="80"/>
      <c r="Q117" s="76">
        <f t="shared" si="9"/>
        <v>0</v>
      </c>
      <c r="R117" s="76">
        <f t="shared" si="10"/>
        <v>0</v>
      </c>
      <c r="S117" s="76">
        <f t="shared" si="11"/>
        <v>0</v>
      </c>
      <c r="T117" s="59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0</v>
      </c>
      <c r="CO117" s="16">
        <v>0</v>
      </c>
      <c r="CP117" s="16">
        <v>0</v>
      </c>
    </row>
    <row r="118" spans="1:94" ht="18.75" x14ac:dyDescent="0.25">
      <c r="A118" s="24" t="s">
        <v>106</v>
      </c>
      <c r="B118" s="24" t="s">
        <v>11</v>
      </c>
      <c r="C118" s="24" t="s">
        <v>155</v>
      </c>
      <c r="D118" s="24" t="s">
        <v>276</v>
      </c>
      <c r="E118" s="24" t="s">
        <v>70</v>
      </c>
      <c r="F118" s="37" t="s">
        <v>277</v>
      </c>
      <c r="G118" s="24" t="s">
        <v>278</v>
      </c>
      <c r="H118" s="24" t="s">
        <v>53</v>
      </c>
      <c r="I118" s="24" t="s">
        <v>874</v>
      </c>
      <c r="J118" s="24" t="s">
        <v>1660</v>
      </c>
      <c r="K118" s="24" t="s">
        <v>280</v>
      </c>
      <c r="L118" s="24"/>
      <c r="M118" s="24"/>
      <c r="N118" s="77"/>
      <c r="O118" s="80"/>
      <c r="P118" s="80"/>
      <c r="Q118" s="76">
        <f t="shared" si="9"/>
        <v>0</v>
      </c>
      <c r="R118" s="76">
        <f t="shared" si="10"/>
        <v>0</v>
      </c>
      <c r="S118" s="76">
        <f t="shared" si="11"/>
        <v>0</v>
      </c>
      <c r="T118" s="59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</row>
    <row r="119" spans="1:94" ht="18.75" x14ac:dyDescent="0.25">
      <c r="A119" s="24" t="s">
        <v>106</v>
      </c>
      <c r="B119" s="24" t="s">
        <v>11</v>
      </c>
      <c r="C119" s="24" t="s">
        <v>155</v>
      </c>
      <c r="D119" s="24" t="s">
        <v>276</v>
      </c>
      <c r="E119" s="24" t="s">
        <v>70</v>
      </c>
      <c r="F119" s="37" t="s">
        <v>277</v>
      </c>
      <c r="G119" s="24" t="s">
        <v>278</v>
      </c>
      <c r="H119" s="24" t="s">
        <v>56</v>
      </c>
      <c r="I119" s="24" t="s">
        <v>875</v>
      </c>
      <c r="J119" s="24" t="s">
        <v>1659</v>
      </c>
      <c r="K119" s="24" t="s">
        <v>281</v>
      </c>
      <c r="L119" s="24"/>
      <c r="M119" s="24"/>
      <c r="N119" s="77"/>
      <c r="O119" s="80"/>
      <c r="P119" s="80"/>
      <c r="Q119" s="76">
        <f t="shared" si="9"/>
        <v>0</v>
      </c>
      <c r="R119" s="76">
        <f t="shared" si="10"/>
        <v>0</v>
      </c>
      <c r="S119" s="76">
        <f t="shared" si="11"/>
        <v>0</v>
      </c>
      <c r="T119" s="59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</row>
    <row r="120" spans="1:94" ht="18.75" x14ac:dyDescent="0.25">
      <c r="A120" s="24" t="s">
        <v>106</v>
      </c>
      <c r="B120" s="24" t="s">
        <v>11</v>
      </c>
      <c r="C120" s="24" t="s">
        <v>155</v>
      </c>
      <c r="D120" s="24" t="s">
        <v>276</v>
      </c>
      <c r="E120" s="24" t="s">
        <v>70</v>
      </c>
      <c r="F120" s="37" t="s">
        <v>277</v>
      </c>
      <c r="G120" s="24" t="s">
        <v>278</v>
      </c>
      <c r="H120" s="24" t="s">
        <v>59</v>
      </c>
      <c r="I120" s="24" t="s">
        <v>876</v>
      </c>
      <c r="J120" s="24" t="s">
        <v>1661</v>
      </c>
      <c r="K120" s="24" t="s">
        <v>282</v>
      </c>
      <c r="L120" s="24"/>
      <c r="M120" s="24"/>
      <c r="N120" s="77"/>
      <c r="O120" s="80"/>
      <c r="P120" s="80"/>
      <c r="Q120" s="76">
        <f t="shared" si="9"/>
        <v>0</v>
      </c>
      <c r="R120" s="76">
        <f t="shared" si="10"/>
        <v>0</v>
      </c>
      <c r="S120" s="76">
        <f t="shared" si="11"/>
        <v>0</v>
      </c>
      <c r="T120" s="59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</row>
    <row r="121" spans="1:94" ht="18.75" x14ac:dyDescent="0.25">
      <c r="A121" s="24" t="s">
        <v>106</v>
      </c>
      <c r="B121" s="24" t="s">
        <v>11</v>
      </c>
      <c r="C121" s="24" t="s">
        <v>155</v>
      </c>
      <c r="D121" s="24" t="s">
        <v>276</v>
      </c>
      <c r="E121" s="24" t="s">
        <v>70</v>
      </c>
      <c r="F121" s="37" t="s">
        <v>277</v>
      </c>
      <c r="G121" s="24" t="s">
        <v>278</v>
      </c>
      <c r="H121" s="24" t="s">
        <v>62</v>
      </c>
      <c r="I121" s="24" t="s">
        <v>877</v>
      </c>
      <c r="J121" s="24" t="s">
        <v>1663</v>
      </c>
      <c r="K121" s="24" t="s">
        <v>283</v>
      </c>
      <c r="L121" s="24"/>
      <c r="M121" s="24"/>
      <c r="N121" s="77"/>
      <c r="O121" s="80"/>
      <c r="P121" s="80"/>
      <c r="Q121" s="76">
        <f t="shared" si="9"/>
        <v>0</v>
      </c>
      <c r="R121" s="76">
        <f t="shared" si="10"/>
        <v>0</v>
      </c>
      <c r="S121" s="76">
        <f t="shared" si="11"/>
        <v>0</v>
      </c>
      <c r="T121" s="59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</row>
    <row r="122" spans="1:94" ht="18.75" x14ac:dyDescent="0.25">
      <c r="A122" s="24" t="s">
        <v>106</v>
      </c>
      <c r="B122" s="24" t="s">
        <v>11</v>
      </c>
      <c r="C122" s="24" t="s">
        <v>155</v>
      </c>
      <c r="D122" s="24" t="s">
        <v>276</v>
      </c>
      <c r="E122" s="24" t="s">
        <v>70</v>
      </c>
      <c r="F122" s="37" t="s">
        <v>277</v>
      </c>
      <c r="G122" s="24" t="s">
        <v>278</v>
      </c>
      <c r="H122" s="24" t="s">
        <v>65</v>
      </c>
      <c r="I122" s="24" t="s">
        <v>878</v>
      </c>
      <c r="J122" s="24" t="s">
        <v>1664</v>
      </c>
      <c r="K122" s="24" t="s">
        <v>284</v>
      </c>
      <c r="L122" s="24"/>
      <c r="M122" s="24"/>
      <c r="N122" s="77"/>
      <c r="O122" s="80"/>
      <c r="P122" s="80"/>
      <c r="Q122" s="76">
        <f t="shared" si="9"/>
        <v>0</v>
      </c>
      <c r="R122" s="76">
        <f t="shared" si="10"/>
        <v>0</v>
      </c>
      <c r="S122" s="76">
        <f t="shared" si="11"/>
        <v>0</v>
      </c>
      <c r="T122" s="59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</row>
    <row r="123" spans="1:94" ht="18.75" x14ac:dyDescent="0.25">
      <c r="A123" s="24" t="s">
        <v>106</v>
      </c>
      <c r="B123" s="24" t="s">
        <v>11</v>
      </c>
      <c r="C123" s="24" t="s">
        <v>155</v>
      </c>
      <c r="D123" s="24" t="s">
        <v>276</v>
      </c>
      <c r="E123" s="24" t="s">
        <v>70</v>
      </c>
      <c r="F123" s="37" t="s">
        <v>277</v>
      </c>
      <c r="G123" s="24" t="s">
        <v>278</v>
      </c>
      <c r="H123" s="24" t="s">
        <v>100</v>
      </c>
      <c r="I123" s="24" t="s">
        <v>879</v>
      </c>
      <c r="J123" s="24" t="s">
        <v>1667</v>
      </c>
      <c r="K123" s="24" t="s">
        <v>285</v>
      </c>
      <c r="L123" s="24"/>
      <c r="M123" s="24"/>
      <c r="N123" s="77"/>
      <c r="O123" s="80"/>
      <c r="P123" s="80"/>
      <c r="Q123" s="76">
        <f t="shared" si="9"/>
        <v>0</v>
      </c>
      <c r="R123" s="76">
        <f t="shared" si="10"/>
        <v>0</v>
      </c>
      <c r="S123" s="76">
        <f t="shared" si="11"/>
        <v>0</v>
      </c>
      <c r="T123" s="59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</row>
    <row r="124" spans="1:94" ht="18.75" x14ac:dyDescent="0.25">
      <c r="A124" s="24" t="s">
        <v>106</v>
      </c>
      <c r="B124" s="24" t="s">
        <v>11</v>
      </c>
      <c r="C124" s="24" t="s">
        <v>155</v>
      </c>
      <c r="D124" s="24" t="s">
        <v>276</v>
      </c>
      <c r="E124" s="24" t="s">
        <v>70</v>
      </c>
      <c r="F124" s="37" t="s">
        <v>277</v>
      </c>
      <c r="G124" s="24" t="s">
        <v>278</v>
      </c>
      <c r="H124" s="24" t="s">
        <v>103</v>
      </c>
      <c r="I124" s="24" t="s">
        <v>880</v>
      </c>
      <c r="J124" s="24" t="s">
        <v>1668</v>
      </c>
      <c r="K124" s="24" t="s">
        <v>286</v>
      </c>
      <c r="L124" s="24"/>
      <c r="M124" s="24"/>
      <c r="N124" s="77"/>
      <c r="O124" s="80"/>
      <c r="P124" s="80"/>
      <c r="Q124" s="76">
        <f t="shared" si="9"/>
        <v>0</v>
      </c>
      <c r="R124" s="76">
        <f t="shared" si="10"/>
        <v>0</v>
      </c>
      <c r="S124" s="76">
        <f t="shared" si="11"/>
        <v>0</v>
      </c>
      <c r="T124" s="59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</row>
    <row r="125" spans="1:94" ht="18.75" x14ac:dyDescent="0.25">
      <c r="A125" s="24" t="s">
        <v>106</v>
      </c>
      <c r="B125" s="24" t="s">
        <v>11</v>
      </c>
      <c r="C125" s="24" t="s">
        <v>155</v>
      </c>
      <c r="D125" s="24" t="s">
        <v>276</v>
      </c>
      <c r="E125" s="24" t="s">
        <v>70</v>
      </c>
      <c r="F125" s="37" t="s">
        <v>277</v>
      </c>
      <c r="G125" s="24" t="s">
        <v>278</v>
      </c>
      <c r="H125" s="24" t="s">
        <v>106</v>
      </c>
      <c r="I125" s="24" t="s">
        <v>881</v>
      </c>
      <c r="J125" s="24" t="s">
        <v>1666</v>
      </c>
      <c r="K125" s="24" t="s">
        <v>287</v>
      </c>
      <c r="L125" s="24"/>
      <c r="M125" s="24"/>
      <c r="N125" s="77"/>
      <c r="O125" s="80"/>
      <c r="P125" s="80"/>
      <c r="Q125" s="76">
        <f t="shared" si="9"/>
        <v>0</v>
      </c>
      <c r="R125" s="76">
        <f t="shared" si="10"/>
        <v>0</v>
      </c>
      <c r="S125" s="76">
        <f t="shared" si="11"/>
        <v>0</v>
      </c>
      <c r="T125" s="59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</row>
    <row r="126" spans="1:94" ht="18.75" x14ac:dyDescent="0.25">
      <c r="A126" s="24" t="s">
        <v>106</v>
      </c>
      <c r="B126" s="24" t="s">
        <v>11</v>
      </c>
      <c r="C126" s="24" t="s">
        <v>155</v>
      </c>
      <c r="D126" s="24" t="s">
        <v>276</v>
      </c>
      <c r="E126" s="24" t="s">
        <v>70</v>
      </c>
      <c r="F126" s="37" t="s">
        <v>277</v>
      </c>
      <c r="G126" s="24" t="s">
        <v>278</v>
      </c>
      <c r="H126" s="24" t="s">
        <v>109</v>
      </c>
      <c r="I126" s="24" t="s">
        <v>882</v>
      </c>
      <c r="J126" s="24" t="s">
        <v>1662</v>
      </c>
      <c r="K126" s="24" t="s">
        <v>288</v>
      </c>
      <c r="L126" s="24"/>
      <c r="M126" s="24"/>
      <c r="N126" s="77"/>
      <c r="O126" s="80"/>
      <c r="P126" s="80"/>
      <c r="Q126" s="76">
        <f t="shared" si="9"/>
        <v>0</v>
      </c>
      <c r="R126" s="76">
        <f t="shared" si="10"/>
        <v>0</v>
      </c>
      <c r="S126" s="76">
        <f t="shared" si="11"/>
        <v>0</v>
      </c>
      <c r="T126" s="59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</row>
    <row r="127" spans="1:94" ht="18.75" x14ac:dyDescent="0.25">
      <c r="A127" s="24" t="s">
        <v>106</v>
      </c>
      <c r="B127" s="24" t="s">
        <v>11</v>
      </c>
      <c r="C127" s="24" t="s">
        <v>155</v>
      </c>
      <c r="D127" s="24" t="s">
        <v>276</v>
      </c>
      <c r="E127" s="24" t="s">
        <v>70</v>
      </c>
      <c r="F127" s="37" t="s">
        <v>277</v>
      </c>
      <c r="G127" s="24" t="s">
        <v>278</v>
      </c>
      <c r="H127" s="24" t="s">
        <v>137</v>
      </c>
      <c r="I127" s="24" t="s">
        <v>883</v>
      </c>
      <c r="J127" s="24" t="s">
        <v>1665</v>
      </c>
      <c r="K127" s="24" t="s">
        <v>289</v>
      </c>
      <c r="L127" s="24"/>
      <c r="M127" s="24"/>
      <c r="N127" s="77"/>
      <c r="O127" s="80"/>
      <c r="P127" s="80"/>
      <c r="Q127" s="76">
        <f t="shared" si="9"/>
        <v>0</v>
      </c>
      <c r="R127" s="76">
        <f t="shared" si="10"/>
        <v>0</v>
      </c>
      <c r="S127" s="76">
        <f t="shared" si="11"/>
        <v>0</v>
      </c>
      <c r="T127" s="59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</row>
    <row r="128" spans="1:94" ht="18.75" x14ac:dyDescent="0.25">
      <c r="A128" s="84" t="s">
        <v>106</v>
      </c>
      <c r="B128" s="84" t="s">
        <v>11</v>
      </c>
      <c r="C128" s="84" t="s">
        <v>155</v>
      </c>
      <c r="D128" s="84" t="s">
        <v>276</v>
      </c>
      <c r="E128" s="84" t="s">
        <v>70</v>
      </c>
      <c r="F128" s="85" t="s">
        <v>277</v>
      </c>
      <c r="G128" s="84"/>
      <c r="H128" s="84" t="s">
        <v>139</v>
      </c>
      <c r="I128" s="84" t="str">
        <f t="shared" ref="I128:I132" si="12">_xlfn.CONCAT(A128," ",C128," ",E128,H128)</f>
        <v>09 20 00.1012</v>
      </c>
      <c r="J128" s="84" t="s">
        <v>1669</v>
      </c>
      <c r="K128" s="84"/>
      <c r="L128" s="84"/>
      <c r="M128" s="84"/>
      <c r="N128" s="86"/>
      <c r="O128" s="87"/>
      <c r="P128" s="87"/>
      <c r="Q128" s="88"/>
      <c r="R128" s="88">
        <f t="shared" ref="R128:R143" si="13">IF($H128=0,0,COUNTIF(J:J,J128)-1)</f>
        <v>0</v>
      </c>
      <c r="S128" s="88"/>
      <c r="T128" s="92"/>
    </row>
    <row r="129" spans="1:94" ht="18.75" x14ac:dyDescent="0.25">
      <c r="A129" s="84" t="s">
        <v>106</v>
      </c>
      <c r="B129" s="84" t="s">
        <v>11</v>
      </c>
      <c r="C129" s="84" t="s">
        <v>155</v>
      </c>
      <c r="D129" s="84" t="s">
        <v>276</v>
      </c>
      <c r="E129" s="84" t="s">
        <v>70</v>
      </c>
      <c r="F129" s="85" t="s">
        <v>277</v>
      </c>
      <c r="G129" s="84"/>
      <c r="H129" s="84" t="s">
        <v>141</v>
      </c>
      <c r="I129" s="84" t="str">
        <f t="shared" si="12"/>
        <v>09 20 00.1013</v>
      </c>
      <c r="J129" s="84" t="s">
        <v>1670</v>
      </c>
      <c r="K129" s="84"/>
      <c r="L129" s="84"/>
      <c r="M129" s="84"/>
      <c r="N129" s="86"/>
      <c r="O129" s="87"/>
      <c r="P129" s="87"/>
      <c r="Q129" s="88"/>
      <c r="R129" s="88">
        <f t="shared" si="13"/>
        <v>0</v>
      </c>
      <c r="S129" s="88"/>
      <c r="T129" s="92"/>
    </row>
    <row r="130" spans="1:94" ht="18.75" x14ac:dyDescent="0.25">
      <c r="A130" s="84" t="s">
        <v>106</v>
      </c>
      <c r="B130" s="84" t="s">
        <v>11</v>
      </c>
      <c r="C130" s="84" t="s">
        <v>155</v>
      </c>
      <c r="D130" s="84" t="s">
        <v>276</v>
      </c>
      <c r="E130" s="84" t="s">
        <v>70</v>
      </c>
      <c r="F130" s="85" t="s">
        <v>277</v>
      </c>
      <c r="G130" s="84"/>
      <c r="H130" s="84" t="s">
        <v>143</v>
      </c>
      <c r="I130" s="84" t="str">
        <f t="shared" si="12"/>
        <v>09 20 00.1014</v>
      </c>
      <c r="J130" s="84" t="s">
        <v>1671</v>
      </c>
      <c r="K130" s="84"/>
      <c r="L130" s="84"/>
      <c r="M130" s="84"/>
      <c r="N130" s="86"/>
      <c r="O130" s="87"/>
      <c r="P130" s="87"/>
      <c r="Q130" s="88"/>
      <c r="R130" s="88">
        <f t="shared" si="13"/>
        <v>0</v>
      </c>
      <c r="S130" s="88"/>
      <c r="T130" s="92"/>
    </row>
    <row r="131" spans="1:94" ht="18.75" x14ac:dyDescent="0.25">
      <c r="A131" s="84" t="s">
        <v>106</v>
      </c>
      <c r="B131" s="84" t="s">
        <v>11</v>
      </c>
      <c r="C131" s="84" t="s">
        <v>155</v>
      </c>
      <c r="D131" s="84" t="s">
        <v>276</v>
      </c>
      <c r="E131" s="84" t="s">
        <v>70</v>
      </c>
      <c r="F131" s="85" t="s">
        <v>277</v>
      </c>
      <c r="G131" s="84"/>
      <c r="H131" s="84" t="s">
        <v>145</v>
      </c>
      <c r="I131" s="84" t="str">
        <f t="shared" si="12"/>
        <v>09 20 00.1015</v>
      </c>
      <c r="J131" s="84" t="s">
        <v>1672</v>
      </c>
      <c r="K131" s="84"/>
      <c r="L131" s="84"/>
      <c r="M131" s="84"/>
      <c r="N131" s="86"/>
      <c r="O131" s="87"/>
      <c r="P131" s="87"/>
      <c r="Q131" s="88"/>
      <c r="R131" s="88">
        <f t="shared" si="13"/>
        <v>0</v>
      </c>
      <c r="S131" s="88"/>
      <c r="T131" s="92"/>
    </row>
    <row r="132" spans="1:94" ht="18.75" x14ac:dyDescent="0.25">
      <c r="A132" s="84" t="s">
        <v>106</v>
      </c>
      <c r="B132" s="84" t="s">
        <v>11</v>
      </c>
      <c r="C132" s="84" t="s">
        <v>155</v>
      </c>
      <c r="D132" s="84" t="s">
        <v>276</v>
      </c>
      <c r="E132" s="84" t="s">
        <v>70</v>
      </c>
      <c r="F132" s="85" t="s">
        <v>277</v>
      </c>
      <c r="G132" s="84"/>
      <c r="H132" s="84" t="s">
        <v>147</v>
      </c>
      <c r="I132" s="84" t="str">
        <f t="shared" si="12"/>
        <v>09 20 00.1016</v>
      </c>
      <c r="J132" s="84" t="s">
        <v>1673</v>
      </c>
      <c r="K132" s="84"/>
      <c r="L132" s="84"/>
      <c r="M132" s="84"/>
      <c r="N132" s="86"/>
      <c r="O132" s="87"/>
      <c r="P132" s="87"/>
      <c r="Q132" s="88"/>
      <c r="R132" s="88">
        <f t="shared" si="13"/>
        <v>0</v>
      </c>
      <c r="S132" s="88"/>
      <c r="T132" s="92"/>
    </row>
    <row r="133" spans="1:94" ht="18.75" x14ac:dyDescent="0.25">
      <c r="A133" s="21" t="s">
        <v>106</v>
      </c>
      <c r="B133" s="21" t="s">
        <v>11</v>
      </c>
      <c r="C133" s="21" t="s">
        <v>290</v>
      </c>
      <c r="D133" s="21" t="s">
        <v>291</v>
      </c>
      <c r="E133" s="21" t="s">
        <v>70</v>
      </c>
      <c r="F133" s="34" t="s">
        <v>292</v>
      </c>
      <c r="G133" s="21" t="s">
        <v>293</v>
      </c>
      <c r="H133" s="21" t="s">
        <v>51</v>
      </c>
      <c r="I133" s="21" t="s">
        <v>884</v>
      </c>
      <c r="J133" s="21" t="s">
        <v>885</v>
      </c>
      <c r="K133" s="21" t="s">
        <v>294</v>
      </c>
      <c r="L133" s="21"/>
      <c r="M133" s="21"/>
      <c r="N133" s="77"/>
      <c r="O133" s="80"/>
      <c r="P133" s="80"/>
      <c r="Q133" s="76">
        <f t="shared" ref="Q133:Q143" si="14">IF($H133=0,0,COUNTIF(I:I,I133)-1)</f>
        <v>0</v>
      </c>
      <c r="R133" s="76">
        <f t="shared" si="13"/>
        <v>0</v>
      </c>
      <c r="S133" s="76">
        <f t="shared" ref="S133:S143" si="15">IF($H133=0,0,COUNTIF(K:K,K133)-1)</f>
        <v>0</v>
      </c>
      <c r="T133" s="30">
        <v>4.7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0</v>
      </c>
      <c r="CB133" s="16">
        <v>0</v>
      </c>
      <c r="CC133" s="16">
        <v>0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0</v>
      </c>
      <c r="CJ133" s="16">
        <v>0</v>
      </c>
      <c r="CK133" s="16">
        <v>0</v>
      </c>
      <c r="CL133" s="16">
        <v>0</v>
      </c>
      <c r="CM133" s="16">
        <v>0</v>
      </c>
      <c r="CN133" s="16">
        <v>0</v>
      </c>
      <c r="CO133" s="16">
        <v>0</v>
      </c>
      <c r="CP133" s="16">
        <v>0</v>
      </c>
    </row>
    <row r="134" spans="1:94" ht="18.75" x14ac:dyDescent="0.25">
      <c r="A134" s="21" t="s">
        <v>106</v>
      </c>
      <c r="B134" s="21" t="s">
        <v>11</v>
      </c>
      <c r="C134" s="21" t="s">
        <v>290</v>
      </c>
      <c r="D134" s="21" t="s">
        <v>291</v>
      </c>
      <c r="E134" s="21" t="s">
        <v>70</v>
      </c>
      <c r="F134" s="34" t="s">
        <v>292</v>
      </c>
      <c r="G134" s="21" t="s">
        <v>293</v>
      </c>
      <c r="H134" s="21" t="s">
        <v>53</v>
      </c>
      <c r="I134" s="21" t="s">
        <v>886</v>
      </c>
      <c r="J134" s="21" t="s">
        <v>887</v>
      </c>
      <c r="K134" s="21" t="s">
        <v>295</v>
      </c>
      <c r="L134" s="21"/>
      <c r="M134" s="21"/>
      <c r="N134" s="77"/>
      <c r="O134" s="80"/>
      <c r="P134" s="80"/>
      <c r="Q134" s="76">
        <f t="shared" si="14"/>
        <v>0</v>
      </c>
      <c r="R134" s="76">
        <f t="shared" si="13"/>
        <v>0</v>
      </c>
      <c r="S134" s="76">
        <f t="shared" si="15"/>
        <v>0</v>
      </c>
      <c r="T134" s="30">
        <v>7.2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</row>
    <row r="135" spans="1:94" ht="18.75" x14ac:dyDescent="0.25">
      <c r="A135" s="21" t="s">
        <v>106</v>
      </c>
      <c r="B135" s="21" t="s">
        <v>11</v>
      </c>
      <c r="C135" s="21" t="s">
        <v>290</v>
      </c>
      <c r="D135" s="21" t="s">
        <v>291</v>
      </c>
      <c r="E135" s="21" t="s">
        <v>70</v>
      </c>
      <c r="F135" s="34" t="s">
        <v>292</v>
      </c>
      <c r="G135" s="21" t="s">
        <v>293</v>
      </c>
      <c r="H135" s="21" t="s">
        <v>56</v>
      </c>
      <c r="I135" s="21" t="s">
        <v>888</v>
      </c>
      <c r="J135" s="21" t="s">
        <v>296</v>
      </c>
      <c r="K135" s="21" t="s">
        <v>297</v>
      </c>
      <c r="L135" s="21"/>
      <c r="M135" s="21"/>
      <c r="N135" s="77"/>
      <c r="O135" s="80"/>
      <c r="P135" s="80"/>
      <c r="Q135" s="76">
        <f t="shared" si="14"/>
        <v>0</v>
      </c>
      <c r="R135" s="76">
        <f t="shared" si="13"/>
        <v>0</v>
      </c>
      <c r="S135" s="76">
        <f t="shared" si="15"/>
        <v>0</v>
      </c>
      <c r="T135" s="30">
        <v>3.5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</row>
    <row r="136" spans="1:94" ht="18.75" x14ac:dyDescent="0.25">
      <c r="A136" s="21" t="s">
        <v>106</v>
      </c>
      <c r="B136" s="21" t="s">
        <v>11</v>
      </c>
      <c r="C136" s="21" t="s">
        <v>290</v>
      </c>
      <c r="D136" s="21" t="s">
        <v>291</v>
      </c>
      <c r="E136" s="21" t="s">
        <v>70</v>
      </c>
      <c r="F136" s="34" t="s">
        <v>292</v>
      </c>
      <c r="G136" s="21" t="s">
        <v>293</v>
      </c>
      <c r="H136" s="21" t="s">
        <v>59</v>
      </c>
      <c r="I136" s="21" t="s">
        <v>889</v>
      </c>
      <c r="J136" s="21" t="s">
        <v>298</v>
      </c>
      <c r="K136" s="21" t="s">
        <v>299</v>
      </c>
      <c r="L136" s="21"/>
      <c r="M136" s="21"/>
      <c r="N136" s="77"/>
      <c r="O136" s="80"/>
      <c r="P136" s="80"/>
      <c r="Q136" s="76">
        <f t="shared" si="14"/>
        <v>0</v>
      </c>
      <c r="R136" s="76">
        <f t="shared" si="13"/>
        <v>0</v>
      </c>
      <c r="S136" s="76">
        <f t="shared" si="15"/>
        <v>0</v>
      </c>
      <c r="T136" s="30">
        <v>113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0</v>
      </c>
      <c r="CM136" s="16">
        <v>0</v>
      </c>
      <c r="CN136" s="16">
        <v>0</v>
      </c>
      <c r="CO136" s="16">
        <v>0</v>
      </c>
      <c r="CP136" s="16">
        <v>0</v>
      </c>
    </row>
    <row r="137" spans="1:94" ht="18.75" x14ac:dyDescent="0.25">
      <c r="A137" s="21" t="s">
        <v>106</v>
      </c>
      <c r="B137" s="21" t="s">
        <v>11</v>
      </c>
      <c r="C137" s="21" t="s">
        <v>290</v>
      </c>
      <c r="D137" s="21" t="s">
        <v>291</v>
      </c>
      <c r="E137" s="21" t="s">
        <v>70</v>
      </c>
      <c r="F137" s="34" t="s">
        <v>292</v>
      </c>
      <c r="G137" s="21" t="s">
        <v>293</v>
      </c>
      <c r="H137" s="21" t="s">
        <v>62</v>
      </c>
      <c r="I137" s="21" t="s">
        <v>890</v>
      </c>
      <c r="J137" s="21" t="s">
        <v>300</v>
      </c>
      <c r="K137" s="21" t="s">
        <v>301</v>
      </c>
      <c r="L137" s="21"/>
      <c r="M137" s="21"/>
      <c r="N137" s="77"/>
      <c r="O137" s="80"/>
      <c r="P137" s="80"/>
      <c r="Q137" s="76">
        <f t="shared" si="14"/>
        <v>0</v>
      </c>
      <c r="R137" s="76">
        <f t="shared" si="13"/>
        <v>0</v>
      </c>
      <c r="S137" s="76">
        <f t="shared" si="15"/>
        <v>0</v>
      </c>
      <c r="T137" s="30">
        <v>2.4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0</v>
      </c>
      <c r="BT137" s="16">
        <v>0</v>
      </c>
      <c r="BU137" s="16">
        <v>0</v>
      </c>
      <c r="BV137" s="16">
        <v>0</v>
      </c>
      <c r="BW137" s="16">
        <v>0</v>
      </c>
      <c r="BX137" s="16">
        <v>0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6">
        <v>0</v>
      </c>
      <c r="CF137" s="16">
        <v>0</v>
      </c>
      <c r="CG137" s="16">
        <v>0</v>
      </c>
      <c r="CH137" s="16">
        <v>0</v>
      </c>
      <c r="CI137" s="16">
        <v>0</v>
      </c>
      <c r="CJ137" s="16">
        <v>0</v>
      </c>
      <c r="CK137" s="16">
        <v>0</v>
      </c>
      <c r="CL137" s="16">
        <v>0</v>
      </c>
      <c r="CM137" s="16">
        <v>0</v>
      </c>
      <c r="CN137" s="16">
        <v>0</v>
      </c>
      <c r="CO137" s="16">
        <v>0</v>
      </c>
      <c r="CP137" s="16">
        <v>0</v>
      </c>
    </row>
    <row r="138" spans="1:94" ht="18.75" x14ac:dyDescent="0.25">
      <c r="A138" s="21" t="s">
        <v>106</v>
      </c>
      <c r="B138" s="21" t="s">
        <v>11</v>
      </c>
      <c r="C138" s="21" t="s">
        <v>290</v>
      </c>
      <c r="D138" s="21" t="s">
        <v>291</v>
      </c>
      <c r="E138" s="21" t="s">
        <v>70</v>
      </c>
      <c r="F138" s="34" t="s">
        <v>292</v>
      </c>
      <c r="G138" s="21" t="s">
        <v>293</v>
      </c>
      <c r="H138" s="21" t="s">
        <v>65</v>
      </c>
      <c r="I138" s="21" t="s">
        <v>891</v>
      </c>
      <c r="J138" s="21" t="s">
        <v>892</v>
      </c>
      <c r="K138" s="21" t="s">
        <v>302</v>
      </c>
      <c r="L138" s="21"/>
      <c r="M138" s="21"/>
      <c r="N138" s="77"/>
      <c r="O138" s="80"/>
      <c r="P138" s="80"/>
      <c r="Q138" s="76">
        <f t="shared" si="14"/>
        <v>0</v>
      </c>
      <c r="R138" s="76">
        <f t="shared" si="13"/>
        <v>0</v>
      </c>
      <c r="S138" s="76">
        <f t="shared" si="15"/>
        <v>0</v>
      </c>
      <c r="T138" s="30">
        <v>17.2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0</v>
      </c>
      <c r="BW138" s="16">
        <v>0</v>
      </c>
      <c r="BX138" s="16">
        <v>0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0</v>
      </c>
      <c r="CG138" s="16">
        <v>0</v>
      </c>
      <c r="CH138" s="16">
        <v>0</v>
      </c>
      <c r="CI138" s="16">
        <v>0</v>
      </c>
      <c r="CJ138" s="16">
        <v>0</v>
      </c>
      <c r="CK138" s="16">
        <v>0</v>
      </c>
      <c r="CL138" s="16">
        <v>0</v>
      </c>
      <c r="CM138" s="16">
        <v>0</v>
      </c>
      <c r="CN138" s="16">
        <v>0</v>
      </c>
      <c r="CO138" s="16">
        <v>0</v>
      </c>
      <c r="CP138" s="16">
        <v>0</v>
      </c>
    </row>
    <row r="139" spans="1:94" ht="18.75" x14ac:dyDescent="0.25">
      <c r="A139" s="21" t="s">
        <v>106</v>
      </c>
      <c r="B139" s="21" t="s">
        <v>11</v>
      </c>
      <c r="C139" s="21" t="s">
        <v>290</v>
      </c>
      <c r="D139" s="21" t="s">
        <v>291</v>
      </c>
      <c r="E139" s="21" t="s">
        <v>70</v>
      </c>
      <c r="F139" s="34" t="s">
        <v>292</v>
      </c>
      <c r="G139" s="21" t="s">
        <v>293</v>
      </c>
      <c r="H139" s="21" t="s">
        <v>100</v>
      </c>
      <c r="I139" s="21" t="s">
        <v>893</v>
      </c>
      <c r="J139" s="21" t="s">
        <v>303</v>
      </c>
      <c r="K139" s="21" t="s">
        <v>304</v>
      </c>
      <c r="L139" s="21"/>
      <c r="M139" s="21"/>
      <c r="N139" s="77"/>
      <c r="O139" s="80"/>
      <c r="P139" s="80"/>
      <c r="Q139" s="76">
        <f t="shared" si="14"/>
        <v>0</v>
      </c>
      <c r="R139" s="76">
        <f t="shared" si="13"/>
        <v>0</v>
      </c>
      <c r="S139" s="76">
        <f t="shared" si="15"/>
        <v>0</v>
      </c>
      <c r="T139" s="30">
        <v>7.36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0</v>
      </c>
      <c r="BQ139" s="16">
        <v>0</v>
      </c>
      <c r="BR139" s="16">
        <v>0</v>
      </c>
      <c r="BS139" s="16">
        <v>0</v>
      </c>
      <c r="BT139" s="16">
        <v>0</v>
      </c>
      <c r="BU139" s="16">
        <v>0</v>
      </c>
      <c r="BV139" s="16">
        <v>0</v>
      </c>
      <c r="BW139" s="16">
        <v>0</v>
      </c>
      <c r="BX139" s="16">
        <v>0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6">
        <v>0</v>
      </c>
      <c r="CE139" s="16">
        <v>0</v>
      </c>
      <c r="CF139" s="16">
        <v>0</v>
      </c>
      <c r="CG139" s="16">
        <v>0</v>
      </c>
      <c r="CH139" s="16">
        <v>0</v>
      </c>
      <c r="CI139" s="16">
        <v>0</v>
      </c>
      <c r="CJ139" s="16">
        <v>0</v>
      </c>
      <c r="CK139" s="16">
        <v>0</v>
      </c>
      <c r="CL139" s="16">
        <v>0</v>
      </c>
      <c r="CM139" s="16">
        <v>0</v>
      </c>
      <c r="CN139" s="16">
        <v>0</v>
      </c>
      <c r="CO139" s="16">
        <v>0</v>
      </c>
      <c r="CP139" s="16">
        <v>0</v>
      </c>
    </row>
    <row r="140" spans="1:94" ht="18.75" x14ac:dyDescent="0.25">
      <c r="A140" s="21" t="s">
        <v>106</v>
      </c>
      <c r="B140" s="21" t="s">
        <v>11</v>
      </c>
      <c r="C140" s="21" t="s">
        <v>290</v>
      </c>
      <c r="D140" s="21" t="s">
        <v>291</v>
      </c>
      <c r="E140" s="21" t="s">
        <v>70</v>
      </c>
      <c r="F140" s="34" t="s">
        <v>292</v>
      </c>
      <c r="G140" s="21" t="s">
        <v>293</v>
      </c>
      <c r="H140" s="21" t="s">
        <v>103</v>
      </c>
      <c r="I140" s="21" t="s">
        <v>894</v>
      </c>
      <c r="J140" s="21" t="s">
        <v>305</v>
      </c>
      <c r="K140" s="21" t="s">
        <v>306</v>
      </c>
      <c r="L140" s="21"/>
      <c r="M140" s="21"/>
      <c r="N140" s="77"/>
      <c r="O140" s="80"/>
      <c r="P140" s="80"/>
      <c r="Q140" s="76">
        <f t="shared" si="14"/>
        <v>0</v>
      </c>
      <c r="R140" s="76">
        <f t="shared" si="13"/>
        <v>0</v>
      </c>
      <c r="S140" s="76">
        <f t="shared" si="15"/>
        <v>0</v>
      </c>
      <c r="T140" s="30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0</v>
      </c>
      <c r="CL140" s="16">
        <v>0</v>
      </c>
      <c r="CM140" s="16">
        <v>0</v>
      </c>
      <c r="CN140" s="16">
        <v>0</v>
      </c>
      <c r="CO140" s="16">
        <v>0</v>
      </c>
      <c r="CP140" s="16">
        <v>0</v>
      </c>
    </row>
    <row r="141" spans="1:94" ht="18.75" x14ac:dyDescent="0.25">
      <c r="A141" s="21" t="s">
        <v>106</v>
      </c>
      <c r="B141" s="21" t="s">
        <v>11</v>
      </c>
      <c r="C141" s="21" t="s">
        <v>290</v>
      </c>
      <c r="D141" s="21" t="s">
        <v>291</v>
      </c>
      <c r="E141" s="21" t="s">
        <v>70</v>
      </c>
      <c r="F141" s="34" t="s">
        <v>292</v>
      </c>
      <c r="G141" s="21" t="s">
        <v>293</v>
      </c>
      <c r="H141" s="21" t="s">
        <v>106</v>
      </c>
      <c r="I141" s="21" t="s">
        <v>895</v>
      </c>
      <c r="J141" s="21" t="s">
        <v>1227</v>
      </c>
      <c r="K141" s="21" t="s">
        <v>307</v>
      </c>
      <c r="L141" s="21"/>
      <c r="M141" s="21"/>
      <c r="N141" s="77"/>
      <c r="O141" s="80"/>
      <c r="P141" s="80"/>
      <c r="Q141" s="76">
        <f t="shared" si="14"/>
        <v>0</v>
      </c>
      <c r="R141" s="76">
        <f t="shared" si="13"/>
        <v>0</v>
      </c>
      <c r="S141" s="76">
        <f t="shared" si="15"/>
        <v>0</v>
      </c>
      <c r="T141" s="30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</row>
    <row r="142" spans="1:94" ht="18.75" x14ac:dyDescent="0.25">
      <c r="A142" s="21" t="s">
        <v>106</v>
      </c>
      <c r="B142" s="21" t="s">
        <v>11</v>
      </c>
      <c r="C142" s="21" t="s">
        <v>180</v>
      </c>
      <c r="D142" s="21" t="s">
        <v>308</v>
      </c>
      <c r="E142" s="21" t="s">
        <v>70</v>
      </c>
      <c r="F142" s="34" t="s">
        <v>309</v>
      </c>
      <c r="G142" s="21" t="s">
        <v>310</v>
      </c>
      <c r="H142" s="21" t="s">
        <v>51</v>
      </c>
      <c r="I142" s="21" t="s">
        <v>896</v>
      </c>
      <c r="J142" s="21" t="s">
        <v>311</v>
      </c>
      <c r="K142" s="21" t="s">
        <v>312</v>
      </c>
      <c r="L142" s="21" t="s">
        <v>1656</v>
      </c>
      <c r="M142" s="21"/>
      <c r="N142" s="77"/>
      <c r="O142" s="80"/>
      <c r="P142" s="80"/>
      <c r="Q142" s="76">
        <f t="shared" si="14"/>
        <v>0</v>
      </c>
      <c r="R142" s="76">
        <f t="shared" si="13"/>
        <v>0</v>
      </c>
      <c r="S142" s="76">
        <f t="shared" si="15"/>
        <v>0</v>
      </c>
      <c r="T142" s="30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</row>
    <row r="143" spans="1:94" ht="18.75" x14ac:dyDescent="0.25">
      <c r="A143" s="21" t="s">
        <v>106</v>
      </c>
      <c r="B143" s="21" t="s">
        <v>11</v>
      </c>
      <c r="C143" s="21" t="s">
        <v>180</v>
      </c>
      <c r="D143" s="21" t="s">
        <v>308</v>
      </c>
      <c r="E143" s="21" t="s">
        <v>70</v>
      </c>
      <c r="F143" s="34" t="s">
        <v>309</v>
      </c>
      <c r="G143" s="21" t="s">
        <v>310</v>
      </c>
      <c r="H143" s="21" t="s">
        <v>56</v>
      </c>
      <c r="I143" s="21" t="s">
        <v>897</v>
      </c>
      <c r="J143" s="21" t="s">
        <v>313</v>
      </c>
      <c r="K143" s="21" t="s">
        <v>314</v>
      </c>
      <c r="L143" s="21"/>
      <c r="M143" s="21"/>
      <c r="N143" s="77"/>
      <c r="O143" s="80"/>
      <c r="P143" s="80"/>
      <c r="Q143" s="76">
        <f t="shared" si="14"/>
        <v>0</v>
      </c>
      <c r="R143" s="76">
        <f t="shared" si="13"/>
        <v>0</v>
      </c>
      <c r="S143" s="76">
        <f t="shared" si="15"/>
        <v>0</v>
      </c>
      <c r="T143" s="30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0</v>
      </c>
      <c r="CF143" s="16">
        <v>0</v>
      </c>
      <c r="CG143" s="16">
        <v>0</v>
      </c>
      <c r="CH143" s="16">
        <v>0</v>
      </c>
      <c r="CI143" s="16">
        <v>0</v>
      </c>
      <c r="CJ143" s="16">
        <v>0</v>
      </c>
      <c r="CK143" s="16">
        <v>0</v>
      </c>
      <c r="CL143" s="16">
        <v>0</v>
      </c>
      <c r="CM143" s="16">
        <v>0</v>
      </c>
      <c r="CN143" s="16">
        <v>0</v>
      </c>
      <c r="CO143" s="16">
        <v>0</v>
      </c>
      <c r="CP143" s="16">
        <v>0</v>
      </c>
    </row>
    <row r="144" spans="1:94" ht="18.75" x14ac:dyDescent="0.25">
      <c r="A144" s="84" t="s">
        <v>106</v>
      </c>
      <c r="B144" s="84" t="s">
        <v>11</v>
      </c>
      <c r="C144" s="84" t="s">
        <v>180</v>
      </c>
      <c r="D144" s="84" t="s">
        <v>308</v>
      </c>
      <c r="E144" s="84" t="s">
        <v>70</v>
      </c>
      <c r="F144" s="85" t="s">
        <v>309</v>
      </c>
      <c r="G144" s="84"/>
      <c r="H144" s="84" t="s">
        <v>59</v>
      </c>
      <c r="I144" s="84" t="str">
        <f t="shared" ref="I144:I154" si="16">_xlfn.CONCAT(A144," ",C144," ",E144,H144)</f>
        <v>09 30 00.1004</v>
      </c>
      <c r="J144" s="84" t="s">
        <v>1634</v>
      </c>
      <c r="K144" s="84" t="s">
        <v>1635</v>
      </c>
      <c r="L144" s="84"/>
      <c r="M144" s="84"/>
      <c r="N144" s="86"/>
      <c r="O144" s="87"/>
      <c r="P144" s="87"/>
      <c r="Q144" s="88"/>
      <c r="R144" s="88"/>
      <c r="S144" s="88"/>
      <c r="T144" s="92"/>
    </row>
    <row r="145" spans="1:94" ht="18.75" x14ac:dyDescent="0.25">
      <c r="A145" s="84" t="s">
        <v>106</v>
      </c>
      <c r="B145" s="84" t="s">
        <v>11</v>
      </c>
      <c r="C145" s="84" t="s">
        <v>180</v>
      </c>
      <c r="D145" s="84" t="s">
        <v>308</v>
      </c>
      <c r="E145" s="84" t="s">
        <v>70</v>
      </c>
      <c r="F145" s="85" t="s">
        <v>309</v>
      </c>
      <c r="G145" s="84"/>
      <c r="H145" s="84" t="s">
        <v>62</v>
      </c>
      <c r="I145" s="84" t="str">
        <f t="shared" si="16"/>
        <v>09 30 00.1005</v>
      </c>
      <c r="J145" s="84" t="s">
        <v>1636</v>
      </c>
      <c r="K145" s="84" t="s">
        <v>1637</v>
      </c>
      <c r="L145" s="84"/>
      <c r="M145" s="84"/>
      <c r="N145" s="86"/>
      <c r="O145" s="87"/>
      <c r="P145" s="87"/>
      <c r="Q145" s="88"/>
      <c r="R145" s="88"/>
      <c r="S145" s="88"/>
      <c r="T145" s="92"/>
    </row>
    <row r="146" spans="1:94" ht="18.75" x14ac:dyDescent="0.25">
      <c r="A146" s="84" t="s">
        <v>106</v>
      </c>
      <c r="B146" s="84" t="s">
        <v>11</v>
      </c>
      <c r="C146" s="84" t="s">
        <v>180</v>
      </c>
      <c r="D146" s="84" t="s">
        <v>308</v>
      </c>
      <c r="E146" s="84" t="s">
        <v>70</v>
      </c>
      <c r="F146" s="85" t="s">
        <v>309</v>
      </c>
      <c r="G146" s="84"/>
      <c r="H146" s="84" t="s">
        <v>65</v>
      </c>
      <c r="I146" s="84" t="str">
        <f t="shared" si="16"/>
        <v>09 30 00.1006</v>
      </c>
      <c r="J146" s="89" t="s">
        <v>1638</v>
      </c>
      <c r="K146" s="84" t="s">
        <v>1639</v>
      </c>
      <c r="L146" s="84"/>
      <c r="M146" s="84"/>
      <c r="N146" s="86"/>
      <c r="O146" s="87"/>
      <c r="P146" s="87"/>
      <c r="Q146" s="88"/>
      <c r="R146" s="88"/>
      <c r="S146" s="88"/>
      <c r="T146" s="92"/>
    </row>
    <row r="147" spans="1:94" ht="18.75" x14ac:dyDescent="0.25">
      <c r="A147" s="84" t="s">
        <v>106</v>
      </c>
      <c r="B147" s="84" t="s">
        <v>11</v>
      </c>
      <c r="C147" s="84" t="s">
        <v>180</v>
      </c>
      <c r="D147" s="84" t="s">
        <v>308</v>
      </c>
      <c r="E147" s="84" t="s">
        <v>70</v>
      </c>
      <c r="F147" s="85" t="s">
        <v>309</v>
      </c>
      <c r="G147" s="84"/>
      <c r="H147" s="84" t="s">
        <v>100</v>
      </c>
      <c r="I147" s="84" t="str">
        <f t="shared" si="16"/>
        <v>09 30 00.1007</v>
      </c>
      <c r="J147" s="84" t="s">
        <v>1640</v>
      </c>
      <c r="K147" s="84" t="s">
        <v>1641</v>
      </c>
      <c r="L147" s="84"/>
      <c r="M147" s="84"/>
      <c r="N147" s="86"/>
      <c r="O147" s="87"/>
      <c r="P147" s="87"/>
      <c r="Q147" s="88"/>
      <c r="R147" s="88"/>
      <c r="S147" s="88"/>
      <c r="T147" s="92"/>
    </row>
    <row r="148" spans="1:94" ht="18.75" x14ac:dyDescent="0.25">
      <c r="A148" s="84" t="s">
        <v>106</v>
      </c>
      <c r="B148" s="84" t="s">
        <v>11</v>
      </c>
      <c r="C148" s="84" t="s">
        <v>180</v>
      </c>
      <c r="D148" s="84" t="s">
        <v>308</v>
      </c>
      <c r="E148" s="84" t="s">
        <v>70</v>
      </c>
      <c r="F148" s="85" t="s">
        <v>309</v>
      </c>
      <c r="G148" s="84"/>
      <c r="H148" s="84" t="s">
        <v>103</v>
      </c>
      <c r="I148" s="84" t="str">
        <f t="shared" si="16"/>
        <v>09 30 00.1008</v>
      </c>
      <c r="J148" s="84" t="s">
        <v>1642</v>
      </c>
      <c r="K148" s="84" t="s">
        <v>1643</v>
      </c>
      <c r="L148" s="84"/>
      <c r="M148" s="84"/>
      <c r="N148" s="86"/>
      <c r="O148" s="87"/>
      <c r="P148" s="87"/>
      <c r="Q148" s="88"/>
      <c r="R148" s="88"/>
      <c r="S148" s="88"/>
      <c r="T148" s="92"/>
    </row>
    <row r="149" spans="1:94" ht="18.75" x14ac:dyDescent="0.25">
      <c r="A149" s="84" t="s">
        <v>106</v>
      </c>
      <c r="B149" s="84" t="s">
        <v>11</v>
      </c>
      <c r="C149" s="84" t="s">
        <v>180</v>
      </c>
      <c r="D149" s="84" t="s">
        <v>308</v>
      </c>
      <c r="E149" s="84" t="s">
        <v>70</v>
      </c>
      <c r="F149" s="85" t="s">
        <v>309</v>
      </c>
      <c r="G149" s="84"/>
      <c r="H149" s="84" t="s">
        <v>106</v>
      </c>
      <c r="I149" s="84" t="str">
        <f t="shared" si="16"/>
        <v>09 30 00.1009</v>
      </c>
      <c r="J149" s="84" t="s">
        <v>1644</v>
      </c>
      <c r="K149" s="84" t="s">
        <v>1645</v>
      </c>
      <c r="L149" s="84"/>
      <c r="M149" s="84"/>
      <c r="N149" s="86"/>
      <c r="O149" s="87"/>
      <c r="P149" s="87"/>
      <c r="Q149" s="88"/>
      <c r="R149" s="88"/>
      <c r="S149" s="88"/>
      <c r="T149" s="92"/>
    </row>
    <row r="150" spans="1:94" ht="18.75" x14ac:dyDescent="0.25">
      <c r="A150" s="84" t="s">
        <v>106</v>
      </c>
      <c r="B150" s="84" t="s">
        <v>11</v>
      </c>
      <c r="C150" s="84" t="s">
        <v>180</v>
      </c>
      <c r="D150" s="84" t="s">
        <v>308</v>
      </c>
      <c r="E150" s="84" t="s">
        <v>70</v>
      </c>
      <c r="F150" s="85" t="s">
        <v>309</v>
      </c>
      <c r="G150" s="84"/>
      <c r="H150" s="84" t="s">
        <v>109</v>
      </c>
      <c r="I150" s="84" t="str">
        <f t="shared" si="16"/>
        <v>09 30 00.1010</v>
      </c>
      <c r="J150" s="84" t="s">
        <v>1646</v>
      </c>
      <c r="K150" s="84" t="s">
        <v>1647</v>
      </c>
      <c r="L150" s="84"/>
      <c r="M150" s="84"/>
      <c r="N150" s="86"/>
      <c r="O150" s="87"/>
      <c r="P150" s="87"/>
      <c r="Q150" s="88"/>
      <c r="R150" s="88"/>
      <c r="S150" s="88"/>
      <c r="T150" s="92"/>
    </row>
    <row r="151" spans="1:94" ht="18.75" x14ac:dyDescent="0.25">
      <c r="A151" s="84" t="s">
        <v>106</v>
      </c>
      <c r="B151" s="84" t="s">
        <v>11</v>
      </c>
      <c r="C151" s="84" t="s">
        <v>180</v>
      </c>
      <c r="D151" s="84" t="s">
        <v>308</v>
      </c>
      <c r="E151" s="84" t="s">
        <v>70</v>
      </c>
      <c r="F151" s="85" t="s">
        <v>309</v>
      </c>
      <c r="G151" s="84"/>
      <c r="H151" s="84" t="s">
        <v>137</v>
      </c>
      <c r="I151" s="84" t="str">
        <f t="shared" si="16"/>
        <v>09 30 00.1011</v>
      </c>
      <c r="J151" s="84" t="s">
        <v>1648</v>
      </c>
      <c r="K151" s="84" t="s">
        <v>1649</v>
      </c>
      <c r="L151" s="84"/>
      <c r="M151" s="84"/>
      <c r="N151" s="86"/>
      <c r="O151" s="87"/>
      <c r="P151" s="87"/>
      <c r="Q151" s="88"/>
      <c r="R151" s="88"/>
      <c r="S151" s="88"/>
      <c r="T151" s="92"/>
    </row>
    <row r="152" spans="1:94" ht="18.75" x14ac:dyDescent="0.25">
      <c r="A152" s="84" t="s">
        <v>106</v>
      </c>
      <c r="B152" s="84" t="s">
        <v>11</v>
      </c>
      <c r="C152" s="84" t="s">
        <v>180</v>
      </c>
      <c r="D152" s="84" t="s">
        <v>308</v>
      </c>
      <c r="E152" s="84" t="s">
        <v>70</v>
      </c>
      <c r="F152" s="85" t="s">
        <v>309</v>
      </c>
      <c r="G152" s="84"/>
      <c r="H152" s="84" t="s">
        <v>139</v>
      </c>
      <c r="I152" s="84" t="str">
        <f t="shared" si="16"/>
        <v>09 30 00.1012</v>
      </c>
      <c r="J152" s="84" t="s">
        <v>1650</v>
      </c>
      <c r="K152" s="84" t="s">
        <v>1651</v>
      </c>
      <c r="L152" s="84" t="s">
        <v>1657</v>
      </c>
      <c r="M152" s="84"/>
      <c r="N152" s="86"/>
      <c r="O152" s="87"/>
      <c r="P152" s="87"/>
      <c r="Q152" s="88"/>
      <c r="R152" s="88"/>
      <c r="S152" s="88"/>
      <c r="T152" s="92"/>
    </row>
    <row r="153" spans="1:94" ht="18.75" x14ac:dyDescent="0.25">
      <c r="A153" s="84" t="s">
        <v>106</v>
      </c>
      <c r="B153" s="84" t="s">
        <v>11</v>
      </c>
      <c r="C153" s="84" t="s">
        <v>180</v>
      </c>
      <c r="D153" s="84" t="s">
        <v>308</v>
      </c>
      <c r="E153" s="84" t="s">
        <v>70</v>
      </c>
      <c r="F153" s="85" t="s">
        <v>309</v>
      </c>
      <c r="G153" s="84"/>
      <c r="H153" s="84" t="s">
        <v>141</v>
      </c>
      <c r="I153" s="84" t="str">
        <f t="shared" si="16"/>
        <v>09 30 00.1013</v>
      </c>
      <c r="J153" s="84" t="s">
        <v>1652</v>
      </c>
      <c r="K153" s="84" t="s">
        <v>1653</v>
      </c>
      <c r="L153" s="84" t="s">
        <v>1657</v>
      </c>
      <c r="M153" s="84"/>
      <c r="N153" s="86"/>
      <c r="O153" s="87"/>
      <c r="P153" s="87"/>
      <c r="Q153" s="88"/>
      <c r="R153" s="88"/>
      <c r="S153" s="88"/>
      <c r="T153" s="92"/>
    </row>
    <row r="154" spans="1:94" ht="18.75" x14ac:dyDescent="0.25">
      <c r="A154" s="84" t="s">
        <v>106</v>
      </c>
      <c r="B154" s="84" t="s">
        <v>11</v>
      </c>
      <c r="C154" s="84" t="s">
        <v>180</v>
      </c>
      <c r="D154" s="84" t="s">
        <v>308</v>
      </c>
      <c r="E154" s="84" t="s">
        <v>70</v>
      </c>
      <c r="F154" s="85" t="s">
        <v>309</v>
      </c>
      <c r="G154" s="84"/>
      <c r="H154" s="84" t="s">
        <v>143</v>
      </c>
      <c r="I154" s="84" t="str">
        <f t="shared" si="16"/>
        <v>09 30 00.1014</v>
      </c>
      <c r="J154" s="84" t="s">
        <v>1654</v>
      </c>
      <c r="K154" s="84" t="s">
        <v>1655</v>
      </c>
      <c r="L154" s="84" t="s">
        <v>1657</v>
      </c>
      <c r="M154" s="84"/>
      <c r="N154" s="86"/>
      <c r="O154" s="87"/>
      <c r="P154" s="87"/>
      <c r="Q154" s="88"/>
      <c r="R154" s="88"/>
      <c r="S154" s="88"/>
      <c r="T154" s="92"/>
    </row>
    <row r="155" spans="1:94" ht="18.75" x14ac:dyDescent="0.25">
      <c r="A155" s="21" t="s">
        <v>106</v>
      </c>
      <c r="B155" s="21" t="s">
        <v>11</v>
      </c>
      <c r="C155" s="21" t="s">
        <v>315</v>
      </c>
      <c r="D155" s="21" t="s">
        <v>316</v>
      </c>
      <c r="E155" s="21" t="s">
        <v>70</v>
      </c>
      <c r="F155" s="34" t="s">
        <v>317</v>
      </c>
      <c r="G155" s="21" t="s">
        <v>318</v>
      </c>
      <c r="H155" s="21" t="s">
        <v>51</v>
      </c>
      <c r="I155" s="21" t="s">
        <v>898</v>
      </c>
      <c r="J155" s="21" t="s">
        <v>899</v>
      </c>
      <c r="K155" s="21" t="s">
        <v>319</v>
      </c>
      <c r="L155" s="21"/>
      <c r="M155" s="21"/>
      <c r="N155" s="77"/>
      <c r="O155" s="80"/>
      <c r="P155" s="80"/>
      <c r="Q155" s="76">
        <f t="shared" ref="Q155:Q186" si="17">IF($H155=0,0,COUNTIF(I:I,I155)-1)</f>
        <v>0</v>
      </c>
      <c r="R155" s="76">
        <f t="shared" ref="R155:R186" si="18">IF($H155=0,0,COUNTIF(J:J,J155)-1)</f>
        <v>0</v>
      </c>
      <c r="S155" s="76">
        <f t="shared" ref="S155:S186" si="19">IF($H155=0,0,COUNTIF(K:K,K155)-1)</f>
        <v>0</v>
      </c>
      <c r="T155" s="30" t="s">
        <v>1230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</row>
    <row r="156" spans="1:94" ht="18.75" x14ac:dyDescent="0.25">
      <c r="A156" s="21" t="s">
        <v>106</v>
      </c>
      <c r="B156" s="21" t="s">
        <v>11</v>
      </c>
      <c r="C156" s="21" t="s">
        <v>315</v>
      </c>
      <c r="D156" s="21" t="s">
        <v>316</v>
      </c>
      <c r="E156" s="21" t="s">
        <v>70</v>
      </c>
      <c r="F156" s="34" t="s">
        <v>317</v>
      </c>
      <c r="G156" s="21" t="s">
        <v>318</v>
      </c>
      <c r="H156" s="21" t="s">
        <v>53</v>
      </c>
      <c r="I156" s="21" t="s">
        <v>900</v>
      </c>
      <c r="J156" s="21" t="s">
        <v>320</v>
      </c>
      <c r="K156" s="21" t="s">
        <v>321</v>
      </c>
      <c r="L156" s="21"/>
      <c r="M156" s="21"/>
      <c r="N156" s="77"/>
      <c r="O156" s="80"/>
      <c r="P156" s="80"/>
      <c r="Q156" s="76">
        <f t="shared" si="17"/>
        <v>0</v>
      </c>
      <c r="R156" s="76">
        <f t="shared" si="18"/>
        <v>0</v>
      </c>
      <c r="S156" s="76">
        <f t="shared" si="19"/>
        <v>0</v>
      </c>
      <c r="T156" s="30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</row>
    <row r="157" spans="1:94" ht="18.75" x14ac:dyDescent="0.25">
      <c r="A157" s="21" t="s">
        <v>106</v>
      </c>
      <c r="B157" s="21" t="s">
        <v>11</v>
      </c>
      <c r="C157" s="21" t="s">
        <v>315</v>
      </c>
      <c r="D157" s="21" t="s">
        <v>316</v>
      </c>
      <c r="E157" s="21" t="s">
        <v>70</v>
      </c>
      <c r="F157" s="34" t="s">
        <v>317</v>
      </c>
      <c r="G157" s="21" t="s">
        <v>318</v>
      </c>
      <c r="H157" s="21" t="s">
        <v>56</v>
      </c>
      <c r="I157" s="21" t="s">
        <v>901</v>
      </c>
      <c r="J157" s="21" t="s">
        <v>902</v>
      </c>
      <c r="K157" s="21" t="s">
        <v>322</v>
      </c>
      <c r="L157" s="21"/>
      <c r="M157" s="21"/>
      <c r="N157" s="77"/>
      <c r="O157" s="80"/>
      <c r="P157" s="80"/>
      <c r="Q157" s="76">
        <f t="shared" si="17"/>
        <v>0</v>
      </c>
      <c r="R157" s="76">
        <f t="shared" si="18"/>
        <v>0</v>
      </c>
      <c r="S157" s="76">
        <f t="shared" si="19"/>
        <v>0</v>
      </c>
      <c r="T157" s="30" t="s">
        <v>1230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0</v>
      </c>
      <c r="CP157" s="16">
        <v>0</v>
      </c>
    </row>
    <row r="158" spans="1:94" ht="30" x14ac:dyDescent="0.25">
      <c r="A158" s="21" t="s">
        <v>106</v>
      </c>
      <c r="B158" s="21" t="s">
        <v>11</v>
      </c>
      <c r="C158" s="21" t="s">
        <v>315</v>
      </c>
      <c r="D158" s="21" t="s">
        <v>316</v>
      </c>
      <c r="E158" s="21" t="s">
        <v>88</v>
      </c>
      <c r="F158" s="34" t="s">
        <v>323</v>
      </c>
      <c r="G158" s="27" t="s">
        <v>324</v>
      </c>
      <c r="H158" s="21" t="s">
        <v>51</v>
      </c>
      <c r="I158" s="21" t="s">
        <v>903</v>
      </c>
      <c r="J158" s="21" t="s">
        <v>325</v>
      </c>
      <c r="K158" s="21" t="s">
        <v>325</v>
      </c>
      <c r="L158" s="21"/>
      <c r="M158" s="21"/>
      <c r="N158" s="77"/>
      <c r="O158" s="80"/>
      <c r="P158" s="80"/>
      <c r="Q158" s="76">
        <f t="shared" si="17"/>
        <v>0</v>
      </c>
      <c r="R158" s="76">
        <f t="shared" si="18"/>
        <v>0</v>
      </c>
      <c r="S158" s="76">
        <f t="shared" si="19"/>
        <v>0</v>
      </c>
      <c r="T158" s="30">
        <v>25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v>0</v>
      </c>
      <c r="CM158" s="16">
        <v>0</v>
      </c>
      <c r="CN158" s="16">
        <v>0</v>
      </c>
      <c r="CO158" s="16">
        <v>0</v>
      </c>
      <c r="CP158" s="16">
        <v>0</v>
      </c>
    </row>
    <row r="159" spans="1:94" ht="30" x14ac:dyDescent="0.25">
      <c r="A159" s="21" t="s">
        <v>106</v>
      </c>
      <c r="B159" s="21" t="s">
        <v>11</v>
      </c>
      <c r="C159" s="21" t="s">
        <v>315</v>
      </c>
      <c r="D159" s="21" t="s">
        <v>316</v>
      </c>
      <c r="E159" s="21" t="s">
        <v>88</v>
      </c>
      <c r="F159" s="34" t="s">
        <v>323</v>
      </c>
      <c r="G159" s="27" t="s">
        <v>324</v>
      </c>
      <c r="H159" s="21" t="s">
        <v>53</v>
      </c>
      <c r="I159" s="21" t="s">
        <v>904</v>
      </c>
      <c r="J159" s="21" t="s">
        <v>326</v>
      </c>
      <c r="K159" s="21" t="s">
        <v>326</v>
      </c>
      <c r="L159" s="21"/>
      <c r="M159" s="21"/>
      <c r="N159" s="77"/>
      <c r="O159" s="80"/>
      <c r="P159" s="80"/>
      <c r="Q159" s="76">
        <f t="shared" si="17"/>
        <v>0</v>
      </c>
      <c r="R159" s="76">
        <f t="shared" si="18"/>
        <v>0</v>
      </c>
      <c r="S159" s="76">
        <f t="shared" si="19"/>
        <v>0</v>
      </c>
      <c r="T159" s="30">
        <v>67.5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v>0</v>
      </c>
      <c r="CM159" s="16">
        <v>0</v>
      </c>
      <c r="CN159" s="16">
        <v>0</v>
      </c>
      <c r="CO159" s="16">
        <v>0</v>
      </c>
      <c r="CP159" s="16">
        <v>0</v>
      </c>
    </row>
    <row r="160" spans="1:94" ht="30" x14ac:dyDescent="0.25">
      <c r="A160" s="21" t="s">
        <v>106</v>
      </c>
      <c r="B160" s="21" t="s">
        <v>11</v>
      </c>
      <c r="C160" s="21" t="s">
        <v>315</v>
      </c>
      <c r="D160" s="21" t="s">
        <v>316</v>
      </c>
      <c r="E160" s="21" t="s">
        <v>88</v>
      </c>
      <c r="F160" s="34" t="s">
        <v>323</v>
      </c>
      <c r="G160" s="27" t="s">
        <v>324</v>
      </c>
      <c r="H160" s="21" t="s">
        <v>56</v>
      </c>
      <c r="I160" s="21" t="s">
        <v>905</v>
      </c>
      <c r="J160" s="21" t="s">
        <v>327</v>
      </c>
      <c r="K160" s="21" t="s">
        <v>327</v>
      </c>
      <c r="L160" s="21"/>
      <c r="M160" s="21"/>
      <c r="N160" s="77"/>
      <c r="O160" s="80"/>
      <c r="P160" s="80"/>
      <c r="Q160" s="76">
        <f t="shared" si="17"/>
        <v>0</v>
      </c>
      <c r="R160" s="76">
        <f t="shared" si="18"/>
        <v>0</v>
      </c>
      <c r="S160" s="76">
        <f t="shared" si="19"/>
        <v>0</v>
      </c>
      <c r="T160" s="30">
        <v>129.5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0</v>
      </c>
      <c r="CL160" s="16">
        <v>0</v>
      </c>
      <c r="CM160" s="16">
        <v>0</v>
      </c>
      <c r="CN160" s="16">
        <v>0</v>
      </c>
      <c r="CO160" s="16">
        <v>0</v>
      </c>
      <c r="CP160" s="16">
        <v>0</v>
      </c>
    </row>
    <row r="161" spans="1:94" ht="30" x14ac:dyDescent="0.25">
      <c r="A161" s="21" t="s">
        <v>106</v>
      </c>
      <c r="B161" s="21" t="s">
        <v>11</v>
      </c>
      <c r="C161" s="21" t="s">
        <v>315</v>
      </c>
      <c r="D161" s="21" t="s">
        <v>316</v>
      </c>
      <c r="E161" s="21" t="s">
        <v>88</v>
      </c>
      <c r="F161" s="34" t="s">
        <v>323</v>
      </c>
      <c r="G161" s="27" t="s">
        <v>324</v>
      </c>
      <c r="H161" s="21" t="s">
        <v>59</v>
      </c>
      <c r="I161" s="21" t="s">
        <v>906</v>
      </c>
      <c r="J161" s="21" t="s">
        <v>328</v>
      </c>
      <c r="K161" s="21" t="s">
        <v>328</v>
      </c>
      <c r="L161" s="21"/>
      <c r="M161" s="21"/>
      <c r="N161" s="77"/>
      <c r="O161" s="80"/>
      <c r="P161" s="80"/>
      <c r="Q161" s="76">
        <f t="shared" si="17"/>
        <v>0</v>
      </c>
      <c r="R161" s="76">
        <f t="shared" si="18"/>
        <v>0</v>
      </c>
      <c r="S161" s="76">
        <f t="shared" si="19"/>
        <v>0</v>
      </c>
      <c r="T161" s="30">
        <v>104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</row>
    <row r="162" spans="1:94" ht="18.75" x14ac:dyDescent="0.25">
      <c r="A162" s="21" t="s">
        <v>106</v>
      </c>
      <c r="B162" s="21" t="s">
        <v>11</v>
      </c>
      <c r="C162" s="21" t="s">
        <v>315</v>
      </c>
      <c r="D162" s="21" t="s">
        <v>316</v>
      </c>
      <c r="E162" s="21" t="s">
        <v>88</v>
      </c>
      <c r="F162" s="34" t="s">
        <v>323</v>
      </c>
      <c r="G162" s="27" t="s">
        <v>324</v>
      </c>
      <c r="H162" s="21" t="s">
        <v>62</v>
      </c>
      <c r="I162" s="21" t="s">
        <v>907</v>
      </c>
      <c r="J162" s="21" t="s">
        <v>329</v>
      </c>
      <c r="K162" s="21" t="s">
        <v>329</v>
      </c>
      <c r="L162" s="21"/>
      <c r="M162" s="21"/>
      <c r="N162" s="77"/>
      <c r="O162" s="80"/>
      <c r="P162" s="80"/>
      <c r="Q162" s="76">
        <f t="shared" si="17"/>
        <v>0</v>
      </c>
      <c r="R162" s="76">
        <f t="shared" si="18"/>
        <v>0</v>
      </c>
      <c r="S162" s="76">
        <f t="shared" si="19"/>
        <v>0</v>
      </c>
      <c r="T162" s="30">
        <v>27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</row>
    <row r="163" spans="1:94" ht="45" x14ac:dyDescent="0.25">
      <c r="A163" s="21" t="s">
        <v>106</v>
      </c>
      <c r="B163" s="21" t="s">
        <v>11</v>
      </c>
      <c r="C163" s="21" t="s">
        <v>315</v>
      </c>
      <c r="D163" s="21" t="s">
        <v>316</v>
      </c>
      <c r="E163" s="21" t="s">
        <v>88</v>
      </c>
      <c r="F163" s="34" t="s">
        <v>323</v>
      </c>
      <c r="G163" s="27" t="s">
        <v>324</v>
      </c>
      <c r="H163" s="21" t="s">
        <v>65</v>
      </c>
      <c r="I163" s="21" t="s">
        <v>908</v>
      </c>
      <c r="J163" s="21" t="s">
        <v>330</v>
      </c>
      <c r="K163" s="21" t="s">
        <v>330</v>
      </c>
      <c r="L163" s="21"/>
      <c r="M163" s="21"/>
      <c r="N163" s="77"/>
      <c r="O163" s="80"/>
      <c r="P163" s="80"/>
      <c r="Q163" s="76">
        <f t="shared" si="17"/>
        <v>0</v>
      </c>
      <c r="R163" s="76">
        <f t="shared" si="18"/>
        <v>0</v>
      </c>
      <c r="S163" s="76">
        <f t="shared" si="19"/>
        <v>0</v>
      </c>
      <c r="T163" s="30">
        <v>62.2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</row>
    <row r="164" spans="1:94" ht="30" x14ac:dyDescent="0.25">
      <c r="A164" s="21" t="s">
        <v>106</v>
      </c>
      <c r="B164" s="21" t="s">
        <v>11</v>
      </c>
      <c r="C164" s="21" t="s">
        <v>315</v>
      </c>
      <c r="D164" s="21" t="s">
        <v>316</v>
      </c>
      <c r="E164" s="21" t="s">
        <v>88</v>
      </c>
      <c r="F164" s="34" t="s">
        <v>323</v>
      </c>
      <c r="G164" s="27" t="s">
        <v>324</v>
      </c>
      <c r="H164" s="21" t="s">
        <v>100</v>
      </c>
      <c r="I164" s="21" t="s">
        <v>909</v>
      </c>
      <c r="J164" s="21" t="s">
        <v>331</v>
      </c>
      <c r="K164" s="21" t="s">
        <v>331</v>
      </c>
      <c r="L164" s="21"/>
      <c r="M164" s="21"/>
      <c r="N164" s="77"/>
      <c r="O164" s="80"/>
      <c r="P164" s="80"/>
      <c r="Q164" s="76">
        <f t="shared" si="17"/>
        <v>0</v>
      </c>
      <c r="R164" s="76">
        <f t="shared" si="18"/>
        <v>0</v>
      </c>
      <c r="S164" s="76">
        <f t="shared" si="19"/>
        <v>0</v>
      </c>
      <c r="T164" s="30">
        <v>81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0</v>
      </c>
      <c r="CI164" s="16">
        <v>0</v>
      </c>
      <c r="CJ164" s="16">
        <v>0</v>
      </c>
      <c r="CK164" s="16">
        <v>0</v>
      </c>
      <c r="CL164" s="16">
        <v>0</v>
      </c>
      <c r="CM164" s="16">
        <v>0</v>
      </c>
      <c r="CN164" s="16">
        <v>0</v>
      </c>
      <c r="CO164" s="16">
        <v>0</v>
      </c>
      <c r="CP164" s="16">
        <v>0</v>
      </c>
    </row>
    <row r="165" spans="1:94" ht="30" x14ac:dyDescent="0.25">
      <c r="A165" s="21" t="s">
        <v>106</v>
      </c>
      <c r="B165" s="21" t="s">
        <v>11</v>
      </c>
      <c r="C165" s="21" t="s">
        <v>315</v>
      </c>
      <c r="D165" s="21" t="s">
        <v>316</v>
      </c>
      <c r="E165" s="21" t="s">
        <v>88</v>
      </c>
      <c r="F165" s="34" t="s">
        <v>323</v>
      </c>
      <c r="G165" s="27" t="s">
        <v>324</v>
      </c>
      <c r="H165" s="21" t="s">
        <v>103</v>
      </c>
      <c r="I165" s="21" t="s">
        <v>910</v>
      </c>
      <c r="J165" s="21" t="s">
        <v>332</v>
      </c>
      <c r="K165" s="21" t="s">
        <v>332</v>
      </c>
      <c r="L165" s="21"/>
      <c r="M165" s="21"/>
      <c r="N165" s="77"/>
      <c r="O165" s="80"/>
      <c r="P165" s="80"/>
      <c r="Q165" s="76">
        <f t="shared" si="17"/>
        <v>0</v>
      </c>
      <c r="R165" s="76">
        <f t="shared" si="18"/>
        <v>0</v>
      </c>
      <c r="S165" s="76">
        <f t="shared" si="19"/>
        <v>0</v>
      </c>
      <c r="T165" s="30">
        <v>26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0</v>
      </c>
      <c r="CM165" s="16">
        <v>0</v>
      </c>
      <c r="CN165" s="16">
        <v>0</v>
      </c>
      <c r="CO165" s="16">
        <v>0</v>
      </c>
      <c r="CP165" s="16">
        <v>0</v>
      </c>
    </row>
    <row r="166" spans="1:94" ht="18.75" x14ac:dyDescent="0.25">
      <c r="A166" s="21" t="s">
        <v>109</v>
      </c>
      <c r="B166" s="21" t="s">
        <v>12</v>
      </c>
      <c r="C166" s="21" t="s">
        <v>46</v>
      </c>
      <c r="D166" s="21" t="s">
        <v>333</v>
      </c>
      <c r="E166" s="21" t="s">
        <v>70</v>
      </c>
      <c r="F166" s="34" t="s">
        <v>334</v>
      </c>
      <c r="G166" s="21" t="s">
        <v>333</v>
      </c>
      <c r="H166" s="21" t="s">
        <v>51</v>
      </c>
      <c r="I166" s="21" t="s">
        <v>911</v>
      </c>
      <c r="J166" s="21" t="s">
        <v>912</v>
      </c>
      <c r="K166" s="21" t="s">
        <v>335</v>
      </c>
      <c r="L166" s="21"/>
      <c r="M166" s="21"/>
      <c r="N166" s="77"/>
      <c r="O166" s="80"/>
      <c r="P166" s="80"/>
      <c r="Q166" s="76">
        <f t="shared" si="17"/>
        <v>0</v>
      </c>
      <c r="R166" s="76">
        <f t="shared" si="18"/>
        <v>0</v>
      </c>
      <c r="S166" s="76">
        <f t="shared" si="19"/>
        <v>0</v>
      </c>
      <c r="T166" s="30">
        <v>1.7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0</v>
      </c>
      <c r="CM166" s="16">
        <v>0</v>
      </c>
      <c r="CN166" s="16">
        <v>0</v>
      </c>
      <c r="CO166" s="16">
        <v>0</v>
      </c>
      <c r="CP166" s="16">
        <v>0</v>
      </c>
    </row>
    <row r="167" spans="1:94" ht="18.75" x14ac:dyDescent="0.25">
      <c r="A167" s="21" t="s">
        <v>109</v>
      </c>
      <c r="B167" s="21" t="s">
        <v>12</v>
      </c>
      <c r="C167" s="21" t="s">
        <v>46</v>
      </c>
      <c r="D167" s="21" t="s">
        <v>333</v>
      </c>
      <c r="E167" s="21" t="s">
        <v>70</v>
      </c>
      <c r="F167" s="34" t="s">
        <v>334</v>
      </c>
      <c r="G167" s="21" t="s">
        <v>333</v>
      </c>
      <c r="H167" s="21" t="s">
        <v>53</v>
      </c>
      <c r="I167" s="21" t="s">
        <v>913</v>
      </c>
      <c r="J167" s="21" t="s">
        <v>336</v>
      </c>
      <c r="K167" s="21" t="s">
        <v>336</v>
      </c>
      <c r="L167" s="21"/>
      <c r="M167" s="21"/>
      <c r="N167" s="77"/>
      <c r="O167" s="80"/>
      <c r="P167" s="80"/>
      <c r="Q167" s="76">
        <f t="shared" si="17"/>
        <v>0</v>
      </c>
      <c r="R167" s="76">
        <f t="shared" si="18"/>
        <v>0</v>
      </c>
      <c r="S167" s="76">
        <f t="shared" si="19"/>
        <v>0</v>
      </c>
      <c r="T167" s="30">
        <v>3.4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</row>
    <row r="168" spans="1:94" ht="18.75" x14ac:dyDescent="0.25">
      <c r="A168" s="25" t="s">
        <v>337</v>
      </c>
      <c r="B168" s="25" t="s">
        <v>24</v>
      </c>
      <c r="C168" s="25" t="s">
        <v>223</v>
      </c>
      <c r="D168" s="25" t="s">
        <v>338</v>
      </c>
      <c r="E168" s="25" t="s">
        <v>70</v>
      </c>
      <c r="F168" s="39" t="s">
        <v>339</v>
      </c>
      <c r="G168" s="25" t="s">
        <v>340</v>
      </c>
      <c r="H168" s="25" t="s">
        <v>51</v>
      </c>
      <c r="I168" s="25" t="s">
        <v>914</v>
      </c>
      <c r="J168" s="25" t="s">
        <v>341</v>
      </c>
      <c r="K168" s="25" t="s">
        <v>341</v>
      </c>
      <c r="L168" s="25" t="s">
        <v>1248</v>
      </c>
      <c r="M168" s="25"/>
      <c r="N168" s="77"/>
      <c r="O168" s="80"/>
      <c r="P168" s="80"/>
      <c r="Q168" s="76">
        <f t="shared" si="17"/>
        <v>0</v>
      </c>
      <c r="R168" s="76">
        <f t="shared" si="18"/>
        <v>0</v>
      </c>
      <c r="S168" s="76">
        <f t="shared" si="19"/>
        <v>0</v>
      </c>
      <c r="T168" s="60">
        <v>40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0</v>
      </c>
      <c r="CP168" s="16">
        <v>0</v>
      </c>
    </row>
    <row r="169" spans="1:94" ht="18.75" x14ac:dyDescent="0.25">
      <c r="A169" s="25" t="s">
        <v>337</v>
      </c>
      <c r="B169" s="25" t="s">
        <v>24</v>
      </c>
      <c r="C169" s="25" t="s">
        <v>223</v>
      </c>
      <c r="D169" s="25" t="s">
        <v>338</v>
      </c>
      <c r="E169" s="25" t="s">
        <v>70</v>
      </c>
      <c r="F169" s="39" t="s">
        <v>339</v>
      </c>
      <c r="G169" s="25" t="s">
        <v>340</v>
      </c>
      <c r="H169" s="25" t="s">
        <v>53</v>
      </c>
      <c r="I169" s="25" t="s">
        <v>915</v>
      </c>
      <c r="J169" s="25" t="s">
        <v>342</v>
      </c>
      <c r="K169" s="25" t="s">
        <v>342</v>
      </c>
      <c r="L169" s="25" t="s">
        <v>1248</v>
      </c>
      <c r="M169" s="25"/>
      <c r="N169" s="77"/>
      <c r="O169" s="80"/>
      <c r="P169" s="80"/>
      <c r="Q169" s="76">
        <f t="shared" si="17"/>
        <v>0</v>
      </c>
      <c r="R169" s="76">
        <f t="shared" si="18"/>
        <v>0</v>
      </c>
      <c r="S169" s="76">
        <f t="shared" si="19"/>
        <v>0</v>
      </c>
      <c r="T169" s="60">
        <v>45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0</v>
      </c>
      <c r="CP169" s="16">
        <v>0</v>
      </c>
    </row>
    <row r="170" spans="1:94" ht="18.75" x14ac:dyDescent="0.25">
      <c r="A170" s="25" t="s">
        <v>337</v>
      </c>
      <c r="B170" s="25" t="s">
        <v>24</v>
      </c>
      <c r="C170" s="25" t="s">
        <v>223</v>
      </c>
      <c r="D170" s="25" t="s">
        <v>338</v>
      </c>
      <c r="E170" s="25" t="s">
        <v>70</v>
      </c>
      <c r="F170" s="39" t="s">
        <v>339</v>
      </c>
      <c r="G170" s="25" t="s">
        <v>340</v>
      </c>
      <c r="H170" s="25" t="s">
        <v>56</v>
      </c>
      <c r="I170" s="25" t="s">
        <v>916</v>
      </c>
      <c r="J170" s="25" t="s">
        <v>343</v>
      </c>
      <c r="K170" s="25" t="s">
        <v>343</v>
      </c>
      <c r="L170" s="25" t="s">
        <v>1248</v>
      </c>
      <c r="M170" s="25"/>
      <c r="N170" s="77"/>
      <c r="O170" s="80"/>
      <c r="P170" s="80"/>
      <c r="Q170" s="76">
        <f t="shared" si="17"/>
        <v>0</v>
      </c>
      <c r="R170" s="76">
        <f t="shared" si="18"/>
        <v>0</v>
      </c>
      <c r="S170" s="76">
        <f t="shared" si="19"/>
        <v>0</v>
      </c>
      <c r="T170" s="60">
        <v>55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0</v>
      </c>
      <c r="CO170" s="16">
        <v>0</v>
      </c>
      <c r="CP170" s="16">
        <v>0</v>
      </c>
    </row>
    <row r="171" spans="1:94" ht="18.75" x14ac:dyDescent="0.25">
      <c r="A171" s="25" t="s">
        <v>337</v>
      </c>
      <c r="B171" s="25" t="s">
        <v>24</v>
      </c>
      <c r="C171" s="25" t="s">
        <v>223</v>
      </c>
      <c r="D171" s="25" t="s">
        <v>338</v>
      </c>
      <c r="E171" s="25" t="s">
        <v>70</v>
      </c>
      <c r="F171" s="39" t="s">
        <v>339</v>
      </c>
      <c r="G171" s="25" t="s">
        <v>340</v>
      </c>
      <c r="H171" s="25" t="s">
        <v>59</v>
      </c>
      <c r="I171" s="25" t="s">
        <v>917</v>
      </c>
      <c r="J171" s="25" t="s">
        <v>344</v>
      </c>
      <c r="K171" s="25" t="s">
        <v>344</v>
      </c>
      <c r="L171" s="25" t="s">
        <v>1248</v>
      </c>
      <c r="M171" s="25"/>
      <c r="N171" s="77"/>
      <c r="O171" s="80"/>
      <c r="P171" s="80"/>
      <c r="Q171" s="76">
        <f t="shared" si="17"/>
        <v>0</v>
      </c>
      <c r="R171" s="76">
        <f t="shared" si="18"/>
        <v>0</v>
      </c>
      <c r="S171" s="76">
        <f t="shared" si="19"/>
        <v>0</v>
      </c>
      <c r="T171" s="60">
        <v>65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0</v>
      </c>
      <c r="CK171" s="16">
        <v>0</v>
      </c>
      <c r="CL171" s="16">
        <v>0</v>
      </c>
      <c r="CM171" s="16">
        <v>0</v>
      </c>
      <c r="CN171" s="16">
        <v>0</v>
      </c>
      <c r="CO171" s="16">
        <v>0</v>
      </c>
      <c r="CP171" s="16">
        <v>0</v>
      </c>
    </row>
    <row r="172" spans="1:94" ht="18.75" x14ac:dyDescent="0.25">
      <c r="A172" s="25" t="s">
        <v>337</v>
      </c>
      <c r="B172" s="25" t="s">
        <v>24</v>
      </c>
      <c r="C172" s="25" t="s">
        <v>223</v>
      </c>
      <c r="D172" s="25" t="s">
        <v>338</v>
      </c>
      <c r="E172" s="25" t="s">
        <v>70</v>
      </c>
      <c r="F172" s="39" t="s">
        <v>339</v>
      </c>
      <c r="G172" s="25" t="s">
        <v>340</v>
      </c>
      <c r="H172" s="25" t="s">
        <v>62</v>
      </c>
      <c r="I172" s="25" t="s">
        <v>918</v>
      </c>
      <c r="J172" s="25" t="s">
        <v>345</v>
      </c>
      <c r="K172" s="25" t="s">
        <v>345</v>
      </c>
      <c r="L172" s="25" t="s">
        <v>1248</v>
      </c>
      <c r="M172" s="25"/>
      <c r="N172" s="77"/>
      <c r="O172" s="80"/>
      <c r="P172" s="80"/>
      <c r="Q172" s="76">
        <f t="shared" si="17"/>
        <v>0</v>
      </c>
      <c r="R172" s="76">
        <f t="shared" si="18"/>
        <v>0</v>
      </c>
      <c r="S172" s="76">
        <f t="shared" si="19"/>
        <v>0</v>
      </c>
      <c r="T172" s="60">
        <v>75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v>0</v>
      </c>
      <c r="CM172" s="16">
        <v>0</v>
      </c>
      <c r="CN172" s="16">
        <v>0</v>
      </c>
      <c r="CO172" s="16">
        <v>0</v>
      </c>
      <c r="CP172" s="16">
        <v>0</v>
      </c>
    </row>
    <row r="173" spans="1:94" ht="18.75" x14ac:dyDescent="0.25">
      <c r="A173" s="25" t="s">
        <v>337</v>
      </c>
      <c r="B173" s="25" t="s">
        <v>24</v>
      </c>
      <c r="C173" s="25" t="s">
        <v>223</v>
      </c>
      <c r="D173" s="25" t="s">
        <v>338</v>
      </c>
      <c r="E173" s="25" t="s">
        <v>70</v>
      </c>
      <c r="F173" s="39" t="s">
        <v>339</v>
      </c>
      <c r="G173" s="25" t="s">
        <v>340</v>
      </c>
      <c r="H173" s="25" t="s">
        <v>65</v>
      </c>
      <c r="I173" s="25" t="s">
        <v>919</v>
      </c>
      <c r="J173" s="25" t="s">
        <v>346</v>
      </c>
      <c r="K173" s="25" t="s">
        <v>346</v>
      </c>
      <c r="L173" s="25" t="s">
        <v>1248</v>
      </c>
      <c r="M173" s="25"/>
      <c r="N173" s="77"/>
      <c r="O173" s="80"/>
      <c r="P173" s="80"/>
      <c r="Q173" s="76">
        <f t="shared" si="17"/>
        <v>0</v>
      </c>
      <c r="R173" s="76">
        <f t="shared" si="18"/>
        <v>0</v>
      </c>
      <c r="S173" s="76">
        <f t="shared" si="19"/>
        <v>0</v>
      </c>
      <c r="T173" s="60">
        <v>95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6">
        <v>0</v>
      </c>
      <c r="CI173" s="16">
        <v>0</v>
      </c>
      <c r="CJ173" s="16">
        <v>0</v>
      </c>
      <c r="CK173" s="16">
        <v>0</v>
      </c>
      <c r="CL173" s="16">
        <v>0</v>
      </c>
      <c r="CM173" s="16">
        <v>0</v>
      </c>
      <c r="CN173" s="16">
        <v>0</v>
      </c>
      <c r="CO173" s="16">
        <v>0</v>
      </c>
      <c r="CP173" s="16">
        <v>0</v>
      </c>
    </row>
    <row r="174" spans="1:94" ht="18.75" x14ac:dyDescent="0.25">
      <c r="A174" s="25" t="s">
        <v>337</v>
      </c>
      <c r="B174" s="25" t="s">
        <v>24</v>
      </c>
      <c r="C174" s="25" t="s">
        <v>223</v>
      </c>
      <c r="D174" s="25" t="s">
        <v>338</v>
      </c>
      <c r="E174" s="25" t="s">
        <v>70</v>
      </c>
      <c r="F174" s="39" t="s">
        <v>339</v>
      </c>
      <c r="G174" s="25" t="s">
        <v>340</v>
      </c>
      <c r="H174" s="25" t="s">
        <v>100</v>
      </c>
      <c r="I174" s="25" t="s">
        <v>920</v>
      </c>
      <c r="J174" s="25" t="s">
        <v>347</v>
      </c>
      <c r="K174" s="25" t="s">
        <v>347</v>
      </c>
      <c r="L174" s="25" t="s">
        <v>1248</v>
      </c>
      <c r="M174" s="25"/>
      <c r="N174" s="77"/>
      <c r="O174" s="80"/>
      <c r="P174" s="80"/>
      <c r="Q174" s="76">
        <f t="shared" si="17"/>
        <v>0</v>
      </c>
      <c r="R174" s="76">
        <f t="shared" si="18"/>
        <v>0</v>
      </c>
      <c r="S174" s="76">
        <f t="shared" si="19"/>
        <v>0</v>
      </c>
      <c r="T174" s="60">
        <v>105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0</v>
      </c>
      <c r="CE174" s="16">
        <v>0</v>
      </c>
      <c r="CF174" s="16">
        <v>0</v>
      </c>
      <c r="CG174" s="16">
        <v>0</v>
      </c>
      <c r="CH174" s="16">
        <v>0</v>
      </c>
      <c r="CI174" s="16">
        <v>0</v>
      </c>
      <c r="CJ174" s="16">
        <v>0</v>
      </c>
      <c r="CK174" s="16">
        <v>0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</row>
    <row r="175" spans="1:94" ht="18.75" x14ac:dyDescent="0.25">
      <c r="A175" s="25" t="s">
        <v>337</v>
      </c>
      <c r="B175" s="25" t="s">
        <v>24</v>
      </c>
      <c r="C175" s="25" t="s">
        <v>223</v>
      </c>
      <c r="D175" s="25" t="s">
        <v>338</v>
      </c>
      <c r="E175" s="25" t="s">
        <v>70</v>
      </c>
      <c r="F175" s="39" t="s">
        <v>339</v>
      </c>
      <c r="G175" s="25" t="s">
        <v>340</v>
      </c>
      <c r="H175" s="25" t="s">
        <v>103</v>
      </c>
      <c r="I175" s="25" t="s">
        <v>921</v>
      </c>
      <c r="J175" s="25" t="s">
        <v>348</v>
      </c>
      <c r="K175" s="25" t="s">
        <v>348</v>
      </c>
      <c r="L175" s="25" t="s">
        <v>1248</v>
      </c>
      <c r="M175" s="25"/>
      <c r="N175" s="77"/>
      <c r="O175" s="80"/>
      <c r="P175" s="80"/>
      <c r="Q175" s="76">
        <f t="shared" si="17"/>
        <v>0</v>
      </c>
      <c r="R175" s="76">
        <f t="shared" si="18"/>
        <v>0</v>
      </c>
      <c r="S175" s="76">
        <f t="shared" si="19"/>
        <v>0</v>
      </c>
      <c r="T175" s="60">
        <v>115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0</v>
      </c>
      <c r="CG175" s="16">
        <v>0</v>
      </c>
      <c r="CH175" s="16">
        <v>0</v>
      </c>
      <c r="CI175" s="16">
        <v>0</v>
      </c>
      <c r="CJ175" s="16">
        <v>0</v>
      </c>
      <c r="CK175" s="16">
        <v>0</v>
      </c>
      <c r="CL175" s="16">
        <v>0</v>
      </c>
      <c r="CM175" s="16">
        <v>0</v>
      </c>
      <c r="CN175" s="16">
        <v>0</v>
      </c>
      <c r="CO175" s="16">
        <v>0</v>
      </c>
      <c r="CP175" s="16">
        <v>0</v>
      </c>
    </row>
    <row r="176" spans="1:94" ht="18.75" x14ac:dyDescent="0.25">
      <c r="A176" s="25" t="s">
        <v>337</v>
      </c>
      <c r="B176" s="25" t="s">
        <v>24</v>
      </c>
      <c r="C176" s="25" t="s">
        <v>223</v>
      </c>
      <c r="D176" s="25" t="s">
        <v>338</v>
      </c>
      <c r="E176" s="25" t="s">
        <v>70</v>
      </c>
      <c r="F176" s="39" t="s">
        <v>339</v>
      </c>
      <c r="G176" s="25" t="s">
        <v>340</v>
      </c>
      <c r="H176" s="25" t="s">
        <v>106</v>
      </c>
      <c r="I176" s="25" t="s">
        <v>922</v>
      </c>
      <c r="J176" s="25" t="s">
        <v>349</v>
      </c>
      <c r="K176" s="25" t="s">
        <v>349</v>
      </c>
      <c r="L176" s="25" t="s">
        <v>1248</v>
      </c>
      <c r="M176" s="25"/>
      <c r="N176" s="77"/>
      <c r="O176" s="80"/>
      <c r="P176" s="80"/>
      <c r="Q176" s="76">
        <f t="shared" si="17"/>
        <v>0</v>
      </c>
      <c r="R176" s="76">
        <f t="shared" si="18"/>
        <v>0</v>
      </c>
      <c r="S176" s="76">
        <f t="shared" si="19"/>
        <v>0</v>
      </c>
      <c r="T176" s="60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</row>
    <row r="177" spans="1:94" ht="18.75" x14ac:dyDescent="0.25">
      <c r="A177" s="21" t="s">
        <v>350</v>
      </c>
      <c r="B177" s="21" t="s">
        <v>25</v>
      </c>
      <c r="C177" s="21" t="s">
        <v>143</v>
      </c>
      <c r="D177" s="21" t="s">
        <v>351</v>
      </c>
      <c r="E177" s="21" t="s">
        <v>70</v>
      </c>
      <c r="F177" s="34" t="s">
        <v>352</v>
      </c>
      <c r="G177" s="21" t="s">
        <v>353</v>
      </c>
      <c r="H177" s="21" t="s">
        <v>51</v>
      </c>
      <c r="I177" s="21" t="s">
        <v>923</v>
      </c>
      <c r="J177" s="21" t="s">
        <v>354</v>
      </c>
      <c r="K177" s="21" t="s">
        <v>355</v>
      </c>
      <c r="L177" s="21" t="s">
        <v>1250</v>
      </c>
      <c r="M177" s="21"/>
      <c r="N177" s="77"/>
      <c r="O177" s="80"/>
      <c r="P177" s="80"/>
      <c r="Q177" s="76">
        <f t="shared" si="17"/>
        <v>0</v>
      </c>
      <c r="R177" s="76">
        <f t="shared" si="18"/>
        <v>0</v>
      </c>
      <c r="S177" s="76">
        <f t="shared" si="19"/>
        <v>0</v>
      </c>
      <c r="T177" s="30">
        <v>272.25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</row>
    <row r="178" spans="1:94" ht="18.75" x14ac:dyDescent="0.25">
      <c r="A178" s="21" t="s">
        <v>356</v>
      </c>
      <c r="B178" s="21" t="s">
        <v>29</v>
      </c>
      <c r="C178" s="21" t="s">
        <v>109</v>
      </c>
      <c r="D178" s="21" t="s">
        <v>357</v>
      </c>
      <c r="E178" s="21" t="s">
        <v>70</v>
      </c>
      <c r="F178" s="34" t="s">
        <v>358</v>
      </c>
      <c r="G178" s="21" t="s">
        <v>13</v>
      </c>
      <c r="H178" s="21" t="s">
        <v>51</v>
      </c>
      <c r="I178" s="21" t="s">
        <v>924</v>
      </c>
      <c r="J178" s="21" t="s">
        <v>359</v>
      </c>
      <c r="K178" s="21" t="s">
        <v>360</v>
      </c>
      <c r="L178" s="21"/>
      <c r="M178" s="21" t="s">
        <v>356</v>
      </c>
      <c r="N178" s="77"/>
      <c r="O178" s="80"/>
      <c r="P178" s="80"/>
      <c r="Q178" s="76">
        <f t="shared" si="17"/>
        <v>0</v>
      </c>
      <c r="R178" s="76">
        <f t="shared" si="18"/>
        <v>0</v>
      </c>
      <c r="S178" s="76">
        <f t="shared" si="19"/>
        <v>0</v>
      </c>
      <c r="T178" s="30">
        <v>0</v>
      </c>
      <c r="U178" s="16">
        <v>0</v>
      </c>
      <c r="V178" s="16">
        <v>1</v>
      </c>
      <c r="W178" s="16">
        <v>1</v>
      </c>
      <c r="X178" s="16">
        <v>1</v>
      </c>
      <c r="Y178" s="16">
        <v>0</v>
      </c>
      <c r="Z178" s="16">
        <v>1</v>
      </c>
      <c r="AA178" s="16">
        <v>1</v>
      </c>
      <c r="AB178" s="16">
        <v>1</v>
      </c>
      <c r="AC178" s="16">
        <v>0</v>
      </c>
      <c r="AD178" s="16">
        <v>0</v>
      </c>
      <c r="AE178" s="16">
        <v>1</v>
      </c>
      <c r="AF178" s="16">
        <v>1</v>
      </c>
      <c r="AG178" s="16">
        <v>1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1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0</v>
      </c>
      <c r="CM178" s="16">
        <v>0</v>
      </c>
      <c r="CN178" s="16">
        <v>0</v>
      </c>
      <c r="CO178" s="16">
        <v>0</v>
      </c>
      <c r="CP178" s="16">
        <v>0</v>
      </c>
    </row>
    <row r="179" spans="1:94" ht="18.75" x14ac:dyDescent="0.25">
      <c r="A179" s="21" t="s">
        <v>356</v>
      </c>
      <c r="B179" s="21" t="s">
        <v>29</v>
      </c>
      <c r="C179" s="21" t="s">
        <v>109</v>
      </c>
      <c r="D179" s="21" t="s">
        <v>357</v>
      </c>
      <c r="E179" s="21" t="s">
        <v>70</v>
      </c>
      <c r="F179" s="34" t="s">
        <v>358</v>
      </c>
      <c r="G179" s="21" t="s">
        <v>13</v>
      </c>
      <c r="H179" s="21" t="s">
        <v>53</v>
      </c>
      <c r="I179" s="21" t="s">
        <v>925</v>
      </c>
      <c r="J179" s="21" t="s">
        <v>361</v>
      </c>
      <c r="K179" s="21" t="s">
        <v>362</v>
      </c>
      <c r="L179" s="21"/>
      <c r="M179" s="21" t="s">
        <v>356</v>
      </c>
      <c r="N179" s="77"/>
      <c r="O179" s="80"/>
      <c r="P179" s="80"/>
      <c r="Q179" s="76">
        <f t="shared" si="17"/>
        <v>0</v>
      </c>
      <c r="R179" s="76">
        <f t="shared" si="18"/>
        <v>0</v>
      </c>
      <c r="S179" s="76">
        <f t="shared" si="19"/>
        <v>0</v>
      </c>
      <c r="T179" s="30">
        <v>1</v>
      </c>
      <c r="U179" s="16">
        <v>0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0</v>
      </c>
      <c r="AD179" s="16">
        <v>0</v>
      </c>
      <c r="AE179" s="16">
        <v>1</v>
      </c>
      <c r="AF179" s="16">
        <v>1</v>
      </c>
      <c r="AG179" s="16">
        <v>1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1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0</v>
      </c>
      <c r="CE179" s="16">
        <v>0</v>
      </c>
      <c r="CF179" s="16">
        <v>0</v>
      </c>
      <c r="CG179" s="16">
        <v>0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0</v>
      </c>
      <c r="CO179" s="16">
        <v>0</v>
      </c>
      <c r="CP179" s="16">
        <v>0</v>
      </c>
    </row>
    <row r="180" spans="1:94" ht="18.75" x14ac:dyDescent="0.25">
      <c r="A180" s="21" t="s">
        <v>356</v>
      </c>
      <c r="B180" s="21" t="s">
        <v>29</v>
      </c>
      <c r="C180" s="21" t="s">
        <v>109</v>
      </c>
      <c r="D180" s="21" t="s">
        <v>357</v>
      </c>
      <c r="E180" s="21" t="s">
        <v>70</v>
      </c>
      <c r="F180" s="34" t="s">
        <v>358</v>
      </c>
      <c r="G180" s="21" t="s">
        <v>13</v>
      </c>
      <c r="H180" s="21" t="s">
        <v>56</v>
      </c>
      <c r="I180" s="21" t="s">
        <v>926</v>
      </c>
      <c r="J180" s="21" t="s">
        <v>363</v>
      </c>
      <c r="K180" s="21" t="s">
        <v>364</v>
      </c>
      <c r="L180" s="21"/>
      <c r="M180" s="21" t="s">
        <v>356</v>
      </c>
      <c r="N180" s="77"/>
      <c r="O180" s="80"/>
      <c r="P180" s="80"/>
      <c r="Q180" s="76">
        <f t="shared" si="17"/>
        <v>0</v>
      </c>
      <c r="R180" s="76">
        <f t="shared" si="18"/>
        <v>0</v>
      </c>
      <c r="S180" s="76">
        <f t="shared" si="19"/>
        <v>0</v>
      </c>
      <c r="T180" s="30">
        <v>1</v>
      </c>
      <c r="U180" s="16">
        <v>0</v>
      </c>
      <c r="V180" s="16">
        <v>1</v>
      </c>
      <c r="W180" s="16">
        <v>1</v>
      </c>
      <c r="X180" s="16">
        <v>1</v>
      </c>
      <c r="Y180" s="16">
        <v>1</v>
      </c>
      <c r="Z180" s="16">
        <v>1</v>
      </c>
      <c r="AA180" s="16">
        <v>1</v>
      </c>
      <c r="AB180" s="16">
        <v>1</v>
      </c>
      <c r="AC180" s="16">
        <v>0</v>
      </c>
      <c r="AD180" s="16">
        <v>0</v>
      </c>
      <c r="AE180" s="16">
        <v>1</v>
      </c>
      <c r="AF180" s="16">
        <v>1</v>
      </c>
      <c r="AG180" s="16">
        <v>1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1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1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0</v>
      </c>
      <c r="CJ180" s="16">
        <v>0</v>
      </c>
      <c r="CK180" s="16">
        <v>0</v>
      </c>
      <c r="CL180" s="16">
        <v>0</v>
      </c>
      <c r="CM180" s="16">
        <v>0</v>
      </c>
      <c r="CN180" s="16">
        <v>0</v>
      </c>
      <c r="CO180" s="16">
        <v>0</v>
      </c>
      <c r="CP180" s="16">
        <v>0</v>
      </c>
    </row>
    <row r="181" spans="1:94" ht="18.75" x14ac:dyDescent="0.25">
      <c r="A181" s="21" t="s">
        <v>356</v>
      </c>
      <c r="B181" s="21" t="s">
        <v>29</v>
      </c>
      <c r="C181" s="21" t="s">
        <v>109</v>
      </c>
      <c r="D181" s="21" t="s">
        <v>357</v>
      </c>
      <c r="E181" s="21" t="s">
        <v>70</v>
      </c>
      <c r="F181" s="34" t="s">
        <v>358</v>
      </c>
      <c r="G181" s="21" t="s">
        <v>13</v>
      </c>
      <c r="H181" s="21" t="s">
        <v>59</v>
      </c>
      <c r="I181" s="21" t="s">
        <v>927</v>
      </c>
      <c r="J181" s="21" t="s">
        <v>365</v>
      </c>
      <c r="K181" s="21" t="s">
        <v>366</v>
      </c>
      <c r="L181" s="21"/>
      <c r="M181" s="21" t="s">
        <v>356</v>
      </c>
      <c r="N181" s="77"/>
      <c r="O181" s="80"/>
      <c r="P181" s="80"/>
      <c r="Q181" s="76">
        <f t="shared" si="17"/>
        <v>0</v>
      </c>
      <c r="R181" s="76">
        <f t="shared" si="18"/>
        <v>0</v>
      </c>
      <c r="S181" s="76">
        <f t="shared" si="19"/>
        <v>0</v>
      </c>
      <c r="T181" s="30">
        <v>1</v>
      </c>
      <c r="U181" s="16">
        <v>0</v>
      </c>
      <c r="V181" s="16">
        <v>1</v>
      </c>
      <c r="W181" s="16">
        <v>1</v>
      </c>
      <c r="X181" s="16">
        <v>1</v>
      </c>
      <c r="Y181" s="16">
        <v>1</v>
      </c>
      <c r="Z181" s="16">
        <v>1</v>
      </c>
      <c r="AA181" s="16">
        <v>1</v>
      </c>
      <c r="AB181" s="16">
        <v>1</v>
      </c>
      <c r="AC181" s="16">
        <v>0</v>
      </c>
      <c r="AD181" s="16">
        <v>0</v>
      </c>
      <c r="AE181" s="16">
        <v>1</v>
      </c>
      <c r="AF181" s="16">
        <v>1</v>
      </c>
      <c r="AG181" s="16">
        <v>1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1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1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0</v>
      </c>
      <c r="CN181" s="16">
        <v>0</v>
      </c>
      <c r="CO181" s="16">
        <v>0</v>
      </c>
      <c r="CP181" s="16">
        <v>0</v>
      </c>
    </row>
    <row r="182" spans="1:94" ht="18.75" x14ac:dyDescent="0.25">
      <c r="A182" s="21" t="s">
        <v>356</v>
      </c>
      <c r="B182" s="21" t="s">
        <v>29</v>
      </c>
      <c r="C182" s="21" t="s">
        <v>109</v>
      </c>
      <c r="D182" s="21" t="s">
        <v>357</v>
      </c>
      <c r="E182" s="21" t="s">
        <v>70</v>
      </c>
      <c r="F182" s="34" t="s">
        <v>358</v>
      </c>
      <c r="G182" s="21" t="s">
        <v>13</v>
      </c>
      <c r="H182" s="21" t="s">
        <v>65</v>
      </c>
      <c r="I182" s="21" t="s">
        <v>928</v>
      </c>
      <c r="J182" s="21" t="s">
        <v>367</v>
      </c>
      <c r="K182" s="21" t="s">
        <v>368</v>
      </c>
      <c r="L182" s="21"/>
      <c r="M182" s="21" t="s">
        <v>356</v>
      </c>
      <c r="N182" s="77"/>
      <c r="O182" s="80"/>
      <c r="P182" s="80"/>
      <c r="Q182" s="76">
        <f t="shared" si="17"/>
        <v>0</v>
      </c>
      <c r="R182" s="76">
        <f t="shared" si="18"/>
        <v>0</v>
      </c>
      <c r="S182" s="76">
        <f t="shared" si="19"/>
        <v>0</v>
      </c>
      <c r="T182" s="30">
        <v>1</v>
      </c>
      <c r="U182" s="16">
        <v>0</v>
      </c>
      <c r="V182" s="16">
        <v>1</v>
      </c>
      <c r="W182" s="16">
        <v>1</v>
      </c>
      <c r="X182" s="16">
        <v>1</v>
      </c>
      <c r="Y182" s="16">
        <v>0</v>
      </c>
      <c r="Z182" s="16">
        <v>1</v>
      </c>
      <c r="AA182" s="16">
        <v>1</v>
      </c>
      <c r="AB182" s="16">
        <v>1</v>
      </c>
      <c r="AC182" s="16">
        <v>0</v>
      </c>
      <c r="AD182" s="16">
        <v>0</v>
      </c>
      <c r="AE182" s="16">
        <v>1</v>
      </c>
      <c r="AF182" s="16">
        <v>1</v>
      </c>
      <c r="AG182" s="16">
        <v>1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1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0</v>
      </c>
      <c r="CJ182" s="16">
        <v>0</v>
      </c>
      <c r="CK182" s="16">
        <v>0</v>
      </c>
      <c r="CL182" s="16">
        <v>0</v>
      </c>
      <c r="CM182" s="16">
        <v>0</v>
      </c>
      <c r="CN182" s="16">
        <v>0</v>
      </c>
      <c r="CO182" s="16">
        <v>0</v>
      </c>
      <c r="CP182" s="16">
        <v>0</v>
      </c>
    </row>
    <row r="183" spans="1:94" ht="18.75" x14ac:dyDescent="0.25">
      <c r="A183" s="21" t="s">
        <v>356</v>
      </c>
      <c r="B183" s="21" t="s">
        <v>29</v>
      </c>
      <c r="C183" s="21" t="s">
        <v>109</v>
      </c>
      <c r="D183" s="21" t="s">
        <v>357</v>
      </c>
      <c r="E183" s="21" t="s">
        <v>70</v>
      </c>
      <c r="F183" s="34" t="s">
        <v>358</v>
      </c>
      <c r="G183" s="21" t="s">
        <v>13</v>
      </c>
      <c r="H183" s="21" t="s">
        <v>100</v>
      </c>
      <c r="I183" s="21" t="s">
        <v>929</v>
      </c>
      <c r="J183" s="21" t="s">
        <v>369</v>
      </c>
      <c r="K183" s="21" t="s">
        <v>370</v>
      </c>
      <c r="L183" s="21"/>
      <c r="M183" s="21" t="s">
        <v>356</v>
      </c>
      <c r="N183" s="77"/>
      <c r="O183" s="80"/>
      <c r="P183" s="80"/>
      <c r="Q183" s="76">
        <f t="shared" si="17"/>
        <v>0</v>
      </c>
      <c r="R183" s="76">
        <f t="shared" si="18"/>
        <v>0</v>
      </c>
      <c r="S183" s="76">
        <f t="shared" si="19"/>
        <v>0</v>
      </c>
      <c r="T183" s="30">
        <v>1</v>
      </c>
      <c r="U183" s="16">
        <v>0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16">
        <v>1</v>
      </c>
      <c r="AB183" s="16">
        <v>1</v>
      </c>
      <c r="AC183" s="16">
        <v>0</v>
      </c>
      <c r="AD183" s="16">
        <v>0</v>
      </c>
      <c r="AE183" s="16">
        <v>1</v>
      </c>
      <c r="AF183" s="16">
        <v>1</v>
      </c>
      <c r="AG183" s="16">
        <v>1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1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</row>
    <row r="184" spans="1:94" ht="18.75" x14ac:dyDescent="0.25">
      <c r="A184" s="21" t="s">
        <v>356</v>
      </c>
      <c r="B184" s="21" t="s">
        <v>29</v>
      </c>
      <c r="C184" s="21" t="s">
        <v>109</v>
      </c>
      <c r="D184" s="21" t="s">
        <v>357</v>
      </c>
      <c r="E184" s="21" t="s">
        <v>70</v>
      </c>
      <c r="F184" s="34" t="s">
        <v>358</v>
      </c>
      <c r="G184" s="21" t="s">
        <v>13</v>
      </c>
      <c r="H184" s="21" t="s">
        <v>103</v>
      </c>
      <c r="I184" s="21" t="s">
        <v>930</v>
      </c>
      <c r="J184" s="21" t="s">
        <v>371</v>
      </c>
      <c r="K184" s="21" t="s">
        <v>372</v>
      </c>
      <c r="L184" s="21"/>
      <c r="M184" s="21" t="s">
        <v>356</v>
      </c>
      <c r="N184" s="77"/>
      <c r="O184" s="80"/>
      <c r="P184" s="80"/>
      <c r="Q184" s="76">
        <f t="shared" si="17"/>
        <v>0</v>
      </c>
      <c r="R184" s="76">
        <f t="shared" si="18"/>
        <v>0</v>
      </c>
      <c r="S184" s="76">
        <f t="shared" si="19"/>
        <v>0</v>
      </c>
      <c r="T184" s="30">
        <v>1</v>
      </c>
      <c r="U184" s="16">
        <v>0</v>
      </c>
      <c r="V184" s="16">
        <v>1</v>
      </c>
      <c r="W184" s="16">
        <v>1</v>
      </c>
      <c r="X184" s="16">
        <v>1</v>
      </c>
      <c r="Y184" s="16">
        <v>0</v>
      </c>
      <c r="Z184" s="16">
        <v>1</v>
      </c>
      <c r="AA184" s="16">
        <v>1</v>
      </c>
      <c r="AB184" s="16">
        <v>1</v>
      </c>
      <c r="AC184" s="16">
        <v>0</v>
      </c>
      <c r="AD184" s="16">
        <v>0</v>
      </c>
      <c r="AE184" s="16">
        <v>1</v>
      </c>
      <c r="AF184" s="16">
        <v>1</v>
      </c>
      <c r="AG184" s="16">
        <v>1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1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0</v>
      </c>
    </row>
    <row r="185" spans="1:94" ht="18.75" x14ac:dyDescent="0.25">
      <c r="A185" s="21" t="s">
        <v>356</v>
      </c>
      <c r="B185" s="21" t="s">
        <v>29</v>
      </c>
      <c r="C185" s="21" t="s">
        <v>109</v>
      </c>
      <c r="D185" s="21" t="s">
        <v>357</v>
      </c>
      <c r="E185" s="21" t="s">
        <v>70</v>
      </c>
      <c r="F185" s="34" t="s">
        <v>358</v>
      </c>
      <c r="G185" s="21" t="s">
        <v>13</v>
      </c>
      <c r="H185" s="21" t="s">
        <v>106</v>
      </c>
      <c r="I185" s="21" t="s">
        <v>931</v>
      </c>
      <c r="J185" s="21" t="s">
        <v>373</v>
      </c>
      <c r="K185" s="21" t="s">
        <v>374</v>
      </c>
      <c r="L185" s="21"/>
      <c r="M185" s="21" t="s">
        <v>356</v>
      </c>
      <c r="N185" s="77"/>
      <c r="O185" s="80"/>
      <c r="P185" s="80"/>
      <c r="Q185" s="76">
        <f t="shared" si="17"/>
        <v>0</v>
      </c>
      <c r="R185" s="76">
        <f t="shared" si="18"/>
        <v>0</v>
      </c>
      <c r="S185" s="76">
        <f t="shared" si="19"/>
        <v>0</v>
      </c>
      <c r="T185" s="30">
        <v>1</v>
      </c>
      <c r="U185" s="16">
        <v>0</v>
      </c>
      <c r="V185" s="16">
        <v>1</v>
      </c>
      <c r="W185" s="16">
        <v>1</v>
      </c>
      <c r="X185" s="16">
        <v>1</v>
      </c>
      <c r="Y185" s="16">
        <v>0</v>
      </c>
      <c r="Z185" s="16">
        <v>1</v>
      </c>
      <c r="AA185" s="16">
        <v>1</v>
      </c>
      <c r="AB185" s="16">
        <v>1</v>
      </c>
      <c r="AC185" s="16">
        <v>0</v>
      </c>
      <c r="AD185" s="16">
        <v>0</v>
      </c>
      <c r="AE185" s="16">
        <v>1</v>
      </c>
      <c r="AF185" s="16">
        <v>1</v>
      </c>
      <c r="AG185" s="16">
        <v>1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1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0</v>
      </c>
      <c r="CN185" s="16">
        <v>0</v>
      </c>
      <c r="CO185" s="16">
        <v>0</v>
      </c>
      <c r="CP185" s="16">
        <v>0</v>
      </c>
    </row>
    <row r="186" spans="1:94" ht="18.75" x14ac:dyDescent="0.25">
      <c r="A186" s="21" t="s">
        <v>356</v>
      </c>
      <c r="B186" s="21" t="s">
        <v>29</v>
      </c>
      <c r="C186" s="21" t="s">
        <v>109</v>
      </c>
      <c r="D186" s="21" t="s">
        <v>357</v>
      </c>
      <c r="E186" s="21" t="s">
        <v>70</v>
      </c>
      <c r="F186" s="34" t="s">
        <v>358</v>
      </c>
      <c r="G186" s="21" t="s">
        <v>13</v>
      </c>
      <c r="H186" s="21" t="s">
        <v>109</v>
      </c>
      <c r="I186" s="21" t="s">
        <v>932</v>
      </c>
      <c r="J186" s="21" t="s">
        <v>375</v>
      </c>
      <c r="K186" s="21" t="s">
        <v>376</v>
      </c>
      <c r="L186" s="21"/>
      <c r="M186" s="21" t="s">
        <v>356</v>
      </c>
      <c r="N186" s="77"/>
      <c r="O186" s="80"/>
      <c r="P186" s="80"/>
      <c r="Q186" s="76">
        <f t="shared" si="17"/>
        <v>0</v>
      </c>
      <c r="R186" s="76">
        <f t="shared" si="18"/>
        <v>0</v>
      </c>
      <c r="S186" s="76">
        <f t="shared" si="19"/>
        <v>0</v>
      </c>
      <c r="T186" s="30">
        <v>1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1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0</v>
      </c>
      <c r="CK186" s="16">
        <v>0</v>
      </c>
      <c r="CL186" s="16">
        <v>0</v>
      </c>
      <c r="CM186" s="16">
        <v>0</v>
      </c>
      <c r="CN186" s="16">
        <v>0</v>
      </c>
      <c r="CO186" s="16">
        <v>0</v>
      </c>
      <c r="CP186" s="16">
        <v>0</v>
      </c>
    </row>
    <row r="187" spans="1:94" ht="18.75" x14ac:dyDescent="0.25">
      <c r="A187" s="21" t="s">
        <v>356</v>
      </c>
      <c r="B187" s="21" t="s">
        <v>29</v>
      </c>
      <c r="C187" s="21" t="s">
        <v>109</v>
      </c>
      <c r="D187" s="21" t="s">
        <v>357</v>
      </c>
      <c r="E187" s="21" t="s">
        <v>70</v>
      </c>
      <c r="F187" s="34" t="s">
        <v>358</v>
      </c>
      <c r="G187" s="21" t="s">
        <v>13</v>
      </c>
      <c r="H187" s="21" t="s">
        <v>137</v>
      </c>
      <c r="I187" s="21" t="s">
        <v>933</v>
      </c>
      <c r="J187" s="21" t="s">
        <v>377</v>
      </c>
      <c r="K187" s="21" t="s">
        <v>378</v>
      </c>
      <c r="L187" s="21"/>
      <c r="M187" s="21" t="s">
        <v>356</v>
      </c>
      <c r="N187" s="77"/>
      <c r="O187" s="80"/>
      <c r="P187" s="80"/>
      <c r="Q187" s="76">
        <f t="shared" ref="Q187:Q218" si="20">IF($H187=0,0,COUNTIF(I:I,I187)-1)</f>
        <v>0</v>
      </c>
      <c r="R187" s="76">
        <f t="shared" ref="R187:R218" si="21">IF($H187=0,0,COUNTIF(J:J,J187)-1)</f>
        <v>0</v>
      </c>
      <c r="S187" s="76">
        <f t="shared" ref="S187:S218" si="22">IF($H187=0,0,COUNTIF(K:K,K187)-1)</f>
        <v>0</v>
      </c>
      <c r="T187" s="30">
        <v>1</v>
      </c>
      <c r="U187" s="16">
        <v>0</v>
      </c>
      <c r="V187" s="16">
        <v>1</v>
      </c>
      <c r="W187" s="16">
        <v>1</v>
      </c>
      <c r="X187" s="16">
        <v>1</v>
      </c>
      <c r="Y187" s="16">
        <v>0</v>
      </c>
      <c r="Z187" s="16">
        <v>1</v>
      </c>
      <c r="AA187" s="16">
        <v>1</v>
      </c>
      <c r="AB187" s="16">
        <v>1</v>
      </c>
      <c r="AC187" s="16">
        <v>0</v>
      </c>
      <c r="AD187" s="16">
        <v>0</v>
      </c>
      <c r="AE187" s="16">
        <v>1</v>
      </c>
      <c r="AF187" s="16">
        <v>1</v>
      </c>
      <c r="AG187" s="16">
        <v>1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1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</row>
    <row r="188" spans="1:94" ht="18.75" x14ac:dyDescent="0.25">
      <c r="A188" s="21" t="s">
        <v>356</v>
      </c>
      <c r="B188" s="21" t="s">
        <v>29</v>
      </c>
      <c r="C188" s="21" t="s">
        <v>109</v>
      </c>
      <c r="D188" s="21" t="s">
        <v>357</v>
      </c>
      <c r="E188" s="21" t="s">
        <v>70</v>
      </c>
      <c r="F188" s="34" t="s">
        <v>358</v>
      </c>
      <c r="G188" s="21" t="s">
        <v>13</v>
      </c>
      <c r="H188" s="21" t="s">
        <v>139</v>
      </c>
      <c r="I188" s="21" t="s">
        <v>934</v>
      </c>
      <c r="J188" s="21" t="s">
        <v>379</v>
      </c>
      <c r="K188" s="21" t="s">
        <v>380</v>
      </c>
      <c r="L188" s="21"/>
      <c r="M188" s="21" t="s">
        <v>356</v>
      </c>
      <c r="N188" s="77"/>
      <c r="O188" s="80"/>
      <c r="P188" s="80"/>
      <c r="Q188" s="76">
        <f t="shared" si="20"/>
        <v>0</v>
      </c>
      <c r="R188" s="76">
        <f t="shared" si="21"/>
        <v>0</v>
      </c>
      <c r="S188" s="76">
        <f t="shared" si="22"/>
        <v>0</v>
      </c>
      <c r="T188" s="30">
        <v>1</v>
      </c>
      <c r="U188" s="16">
        <v>0</v>
      </c>
      <c r="V188" s="16">
        <v>1</v>
      </c>
      <c r="W188" s="16">
        <v>1</v>
      </c>
      <c r="X188" s="16">
        <v>1</v>
      </c>
      <c r="Y188" s="16">
        <v>0</v>
      </c>
      <c r="Z188" s="16">
        <v>1</v>
      </c>
      <c r="AA188" s="16">
        <v>1</v>
      </c>
      <c r="AB188" s="16">
        <v>1</v>
      </c>
      <c r="AC188" s="16">
        <v>0</v>
      </c>
      <c r="AD188" s="16">
        <v>0</v>
      </c>
      <c r="AE188" s="16">
        <v>1</v>
      </c>
      <c r="AF188" s="16">
        <v>1</v>
      </c>
      <c r="AG188" s="16">
        <v>1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1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0</v>
      </c>
      <c r="CL188" s="16">
        <v>0</v>
      </c>
      <c r="CM188" s="16">
        <v>0</v>
      </c>
      <c r="CN188" s="16">
        <v>0</v>
      </c>
      <c r="CO188" s="16">
        <v>0</v>
      </c>
      <c r="CP188" s="16">
        <v>0</v>
      </c>
    </row>
    <row r="189" spans="1:94" ht="18.75" x14ac:dyDescent="0.25">
      <c r="A189" s="21" t="s">
        <v>356</v>
      </c>
      <c r="B189" s="21" t="s">
        <v>29</v>
      </c>
      <c r="C189" s="21" t="s">
        <v>109</v>
      </c>
      <c r="D189" s="21" t="s">
        <v>357</v>
      </c>
      <c r="E189" s="21" t="s">
        <v>70</v>
      </c>
      <c r="F189" s="34" t="s">
        <v>358</v>
      </c>
      <c r="G189" s="21" t="s">
        <v>13</v>
      </c>
      <c r="H189" s="21" t="s">
        <v>141</v>
      </c>
      <c r="I189" s="21" t="s">
        <v>1242</v>
      </c>
      <c r="J189" s="21" t="s">
        <v>412</v>
      </c>
      <c r="K189" s="21" t="s">
        <v>413</v>
      </c>
      <c r="L189" s="21"/>
      <c r="M189" s="21" t="s">
        <v>356</v>
      </c>
      <c r="N189" s="77"/>
      <c r="O189" s="80"/>
      <c r="P189" s="80"/>
      <c r="Q189" s="76">
        <f t="shared" si="20"/>
        <v>0</v>
      </c>
      <c r="R189" s="76">
        <f t="shared" si="21"/>
        <v>0</v>
      </c>
      <c r="S189" s="76">
        <f t="shared" si="22"/>
        <v>0</v>
      </c>
      <c r="T189" s="30">
        <v>2.1800000000000002</v>
      </c>
      <c r="U189" s="16">
        <v>0</v>
      </c>
      <c r="V189" s="16">
        <v>1</v>
      </c>
      <c r="W189" s="16">
        <v>1</v>
      </c>
      <c r="X189" s="16">
        <v>1</v>
      </c>
      <c r="Y189" s="16">
        <v>0</v>
      </c>
      <c r="Z189" s="16">
        <v>1</v>
      </c>
      <c r="AA189" s="16">
        <v>1</v>
      </c>
      <c r="AB189" s="16">
        <v>1</v>
      </c>
      <c r="AC189" s="16">
        <v>0</v>
      </c>
      <c r="AD189" s="16">
        <v>0</v>
      </c>
      <c r="AE189" s="16">
        <v>1</v>
      </c>
      <c r="AF189" s="16">
        <v>1</v>
      </c>
      <c r="AG189" s="16">
        <v>1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1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0</v>
      </c>
      <c r="CO189" s="16">
        <v>0</v>
      </c>
      <c r="CP189" s="16">
        <v>0</v>
      </c>
    </row>
    <row r="190" spans="1:94" ht="18.75" x14ac:dyDescent="0.25">
      <c r="A190" s="26" t="s">
        <v>381</v>
      </c>
      <c r="B190" s="26" t="s">
        <v>30</v>
      </c>
      <c r="C190" s="26" t="s">
        <v>109</v>
      </c>
      <c r="D190" s="26" t="s">
        <v>382</v>
      </c>
      <c r="E190" s="26" t="s">
        <v>70</v>
      </c>
      <c r="F190" s="40" t="s">
        <v>383</v>
      </c>
      <c r="G190" s="26" t="s">
        <v>384</v>
      </c>
      <c r="H190" s="26" t="s">
        <v>51</v>
      </c>
      <c r="I190" s="26" t="s">
        <v>935</v>
      </c>
      <c r="J190" s="26" t="s">
        <v>385</v>
      </c>
      <c r="K190" s="26" t="s">
        <v>386</v>
      </c>
      <c r="L190" s="26"/>
      <c r="M190" s="26"/>
      <c r="N190" s="77"/>
      <c r="O190" s="80"/>
      <c r="P190" s="80"/>
      <c r="Q190" s="76">
        <f t="shared" si="20"/>
        <v>0</v>
      </c>
      <c r="R190" s="76">
        <f t="shared" si="21"/>
        <v>0</v>
      </c>
      <c r="S190" s="76">
        <f t="shared" si="22"/>
        <v>0</v>
      </c>
      <c r="T190" s="61">
        <v>195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</row>
    <row r="191" spans="1:94" ht="18.75" x14ac:dyDescent="0.25">
      <c r="A191" s="26" t="s">
        <v>381</v>
      </c>
      <c r="B191" s="26" t="s">
        <v>30</v>
      </c>
      <c r="C191" s="26" t="s">
        <v>109</v>
      </c>
      <c r="D191" s="26" t="s">
        <v>382</v>
      </c>
      <c r="E191" s="26" t="s">
        <v>70</v>
      </c>
      <c r="F191" s="40" t="s">
        <v>383</v>
      </c>
      <c r="G191" s="26" t="s">
        <v>384</v>
      </c>
      <c r="H191" s="26" t="s">
        <v>56</v>
      </c>
      <c r="I191" s="26" t="s">
        <v>936</v>
      </c>
      <c r="J191" s="26" t="s">
        <v>387</v>
      </c>
      <c r="K191" s="26" t="s">
        <v>388</v>
      </c>
      <c r="L191" s="26"/>
      <c r="M191" s="26"/>
      <c r="N191" s="77"/>
      <c r="O191" s="80"/>
      <c r="P191" s="80"/>
      <c r="Q191" s="76">
        <f t="shared" si="20"/>
        <v>0</v>
      </c>
      <c r="R191" s="76">
        <f t="shared" si="21"/>
        <v>0</v>
      </c>
      <c r="S191" s="76">
        <f t="shared" si="22"/>
        <v>0</v>
      </c>
      <c r="T191" s="61">
        <v>35</v>
      </c>
      <c r="U191" s="16">
        <v>0</v>
      </c>
      <c r="V191" s="16">
        <v>1</v>
      </c>
      <c r="W191" s="16">
        <v>1</v>
      </c>
      <c r="X191" s="16">
        <v>1</v>
      </c>
      <c r="Y191" s="16">
        <v>0</v>
      </c>
      <c r="Z191" s="16">
        <v>1</v>
      </c>
      <c r="AA191" s="16">
        <v>1</v>
      </c>
      <c r="AB191" s="16">
        <v>1</v>
      </c>
      <c r="AC191" s="16">
        <v>0</v>
      </c>
      <c r="AD191" s="16">
        <v>0</v>
      </c>
      <c r="AE191" s="16">
        <v>1</v>
      </c>
      <c r="AF191" s="16">
        <v>1</v>
      </c>
      <c r="AG191" s="16">
        <v>1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1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</row>
    <row r="192" spans="1:94" ht="18.75" x14ac:dyDescent="0.25">
      <c r="A192" s="26" t="s">
        <v>381</v>
      </c>
      <c r="B192" s="26" t="s">
        <v>30</v>
      </c>
      <c r="C192" s="26" t="s">
        <v>109</v>
      </c>
      <c r="D192" s="26" t="s">
        <v>382</v>
      </c>
      <c r="E192" s="26" t="s">
        <v>70</v>
      </c>
      <c r="F192" s="40" t="s">
        <v>383</v>
      </c>
      <c r="G192" s="26" t="s">
        <v>384</v>
      </c>
      <c r="H192" s="26" t="s">
        <v>59</v>
      </c>
      <c r="I192" s="26" t="s">
        <v>937</v>
      </c>
      <c r="J192" s="26" t="s">
        <v>389</v>
      </c>
      <c r="K192" s="26" t="s">
        <v>390</v>
      </c>
      <c r="L192" s="26"/>
      <c r="M192" s="26"/>
      <c r="N192" s="77"/>
      <c r="O192" s="80"/>
      <c r="P192" s="80"/>
      <c r="Q192" s="76">
        <f t="shared" si="20"/>
        <v>0</v>
      </c>
      <c r="R192" s="76">
        <f t="shared" si="21"/>
        <v>0</v>
      </c>
      <c r="S192" s="76">
        <f t="shared" si="22"/>
        <v>0</v>
      </c>
      <c r="T192" s="61">
        <v>195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0</v>
      </c>
      <c r="CI192" s="16">
        <v>0</v>
      </c>
      <c r="CJ192" s="16">
        <v>0</v>
      </c>
      <c r="CK192" s="16">
        <v>0</v>
      </c>
      <c r="CL192" s="16">
        <v>0</v>
      </c>
      <c r="CM192" s="16">
        <v>0</v>
      </c>
      <c r="CN192" s="16">
        <v>0</v>
      </c>
      <c r="CO192" s="16">
        <v>0</v>
      </c>
      <c r="CP192" s="16">
        <v>0</v>
      </c>
    </row>
    <row r="193" spans="1:94" ht="18.75" x14ac:dyDescent="0.25">
      <c r="A193" s="26" t="s">
        <v>381</v>
      </c>
      <c r="B193" s="26" t="s">
        <v>30</v>
      </c>
      <c r="C193" s="26" t="s">
        <v>109</v>
      </c>
      <c r="D193" s="26" t="s">
        <v>382</v>
      </c>
      <c r="E193" s="26" t="s">
        <v>70</v>
      </c>
      <c r="F193" s="40" t="s">
        <v>383</v>
      </c>
      <c r="G193" s="26" t="s">
        <v>384</v>
      </c>
      <c r="H193" s="26" t="s">
        <v>62</v>
      </c>
      <c r="I193" s="26" t="s">
        <v>938</v>
      </c>
      <c r="J193" s="26" t="s">
        <v>1228</v>
      </c>
      <c r="K193" s="26" t="s">
        <v>391</v>
      </c>
      <c r="L193" s="26"/>
      <c r="M193" s="26"/>
      <c r="N193" s="77"/>
      <c r="O193" s="80"/>
      <c r="P193" s="80"/>
      <c r="Q193" s="76">
        <f t="shared" si="20"/>
        <v>0</v>
      </c>
      <c r="R193" s="76">
        <f t="shared" si="21"/>
        <v>0</v>
      </c>
      <c r="S193" s="76">
        <f t="shared" si="22"/>
        <v>0</v>
      </c>
      <c r="T193" s="61">
        <v>195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0</v>
      </c>
      <c r="CO193" s="16">
        <v>0</v>
      </c>
      <c r="CP193" s="16">
        <v>0</v>
      </c>
    </row>
    <row r="194" spans="1:94" ht="18.75" x14ac:dyDescent="0.25">
      <c r="A194" s="26" t="s">
        <v>381</v>
      </c>
      <c r="B194" s="26" t="s">
        <v>30</v>
      </c>
      <c r="C194" s="26" t="s">
        <v>109</v>
      </c>
      <c r="D194" s="26" t="s">
        <v>382</v>
      </c>
      <c r="E194" s="26" t="s">
        <v>70</v>
      </c>
      <c r="F194" s="40" t="s">
        <v>383</v>
      </c>
      <c r="G194" s="26" t="s">
        <v>384</v>
      </c>
      <c r="H194" s="26" t="s">
        <v>65</v>
      </c>
      <c r="I194" s="26" t="s">
        <v>939</v>
      </c>
      <c r="J194" s="26" t="s">
        <v>392</v>
      </c>
      <c r="K194" s="26" t="s">
        <v>393</v>
      </c>
      <c r="L194" s="26"/>
      <c r="M194" s="26"/>
      <c r="N194" s="77"/>
      <c r="O194" s="80"/>
      <c r="P194" s="80"/>
      <c r="Q194" s="76">
        <f t="shared" si="20"/>
        <v>0</v>
      </c>
      <c r="R194" s="76">
        <f t="shared" si="21"/>
        <v>0</v>
      </c>
      <c r="S194" s="76">
        <f t="shared" si="22"/>
        <v>0</v>
      </c>
      <c r="T194" s="61">
        <v>35</v>
      </c>
      <c r="U194" s="16">
        <v>0</v>
      </c>
      <c r="V194" s="16">
        <v>1</v>
      </c>
      <c r="W194" s="16">
        <v>1</v>
      </c>
      <c r="X194" s="16">
        <v>1</v>
      </c>
      <c r="Y194" s="16">
        <v>0</v>
      </c>
      <c r="Z194" s="16">
        <v>1</v>
      </c>
      <c r="AA194" s="16">
        <v>1</v>
      </c>
      <c r="AB194" s="16">
        <v>1</v>
      </c>
      <c r="AC194" s="16">
        <v>0</v>
      </c>
      <c r="AD194" s="16">
        <v>0</v>
      </c>
      <c r="AE194" s="16">
        <v>1</v>
      </c>
      <c r="AF194" s="16">
        <v>1</v>
      </c>
      <c r="AG194" s="16">
        <v>1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1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</row>
    <row r="195" spans="1:94" ht="18.75" x14ac:dyDescent="0.25">
      <c r="A195" s="26" t="s">
        <v>381</v>
      </c>
      <c r="B195" s="26" t="s">
        <v>30</v>
      </c>
      <c r="C195" s="26" t="s">
        <v>109</v>
      </c>
      <c r="D195" s="26" t="s">
        <v>382</v>
      </c>
      <c r="E195" s="26" t="s">
        <v>70</v>
      </c>
      <c r="F195" s="40" t="s">
        <v>383</v>
      </c>
      <c r="G195" s="26" t="s">
        <v>384</v>
      </c>
      <c r="H195" s="26" t="s">
        <v>100</v>
      </c>
      <c r="I195" s="26" t="s">
        <v>940</v>
      </c>
      <c r="J195" s="26" t="s">
        <v>394</v>
      </c>
      <c r="K195" s="26" t="s">
        <v>395</v>
      </c>
      <c r="L195" s="26"/>
      <c r="M195" s="26"/>
      <c r="N195" s="77"/>
      <c r="O195" s="80"/>
      <c r="P195" s="80"/>
      <c r="Q195" s="76">
        <f t="shared" si="20"/>
        <v>0</v>
      </c>
      <c r="R195" s="76">
        <f t="shared" si="21"/>
        <v>0</v>
      </c>
      <c r="S195" s="76">
        <f t="shared" si="22"/>
        <v>0</v>
      </c>
      <c r="T195" s="61">
        <v>6.25</v>
      </c>
      <c r="U195" s="16">
        <v>0</v>
      </c>
      <c r="V195" s="16">
        <v>1</v>
      </c>
      <c r="W195" s="16">
        <v>1</v>
      </c>
      <c r="X195" s="16">
        <v>1</v>
      </c>
      <c r="Y195" s="16">
        <v>0</v>
      </c>
      <c r="Z195" s="16">
        <v>1</v>
      </c>
      <c r="AA195" s="16">
        <v>1</v>
      </c>
      <c r="AB195" s="16">
        <v>1</v>
      </c>
      <c r="AC195" s="16">
        <v>0</v>
      </c>
      <c r="AD195" s="16">
        <v>0</v>
      </c>
      <c r="AE195" s="16">
        <v>1</v>
      </c>
      <c r="AF195" s="16">
        <v>1</v>
      </c>
      <c r="AG195" s="16">
        <v>1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1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0</v>
      </c>
    </row>
    <row r="196" spans="1:94" ht="18.75" x14ac:dyDescent="0.25">
      <c r="A196" s="26" t="s">
        <v>381</v>
      </c>
      <c r="B196" s="26" t="s">
        <v>30</v>
      </c>
      <c r="C196" s="26" t="s">
        <v>109</v>
      </c>
      <c r="D196" s="26" t="s">
        <v>382</v>
      </c>
      <c r="E196" s="26" t="s">
        <v>70</v>
      </c>
      <c r="F196" s="40" t="s">
        <v>383</v>
      </c>
      <c r="G196" s="26" t="s">
        <v>384</v>
      </c>
      <c r="H196" s="26" t="s">
        <v>103</v>
      </c>
      <c r="I196" s="26" t="s">
        <v>941</v>
      </c>
      <c r="J196" s="26" t="s">
        <v>396</v>
      </c>
      <c r="K196" s="26" t="s">
        <v>397</v>
      </c>
      <c r="L196" s="26"/>
      <c r="M196" s="26"/>
      <c r="N196" s="77"/>
      <c r="O196" s="80"/>
      <c r="P196" s="80"/>
      <c r="Q196" s="76">
        <f t="shared" si="20"/>
        <v>0</v>
      </c>
      <c r="R196" s="76">
        <f t="shared" si="21"/>
        <v>0</v>
      </c>
      <c r="S196" s="76">
        <f t="shared" si="22"/>
        <v>0</v>
      </c>
      <c r="T196" s="61">
        <v>120</v>
      </c>
      <c r="U196" s="16">
        <v>0</v>
      </c>
      <c r="V196" s="16">
        <v>1</v>
      </c>
      <c r="W196" s="16">
        <v>1</v>
      </c>
      <c r="X196" s="16">
        <v>1</v>
      </c>
      <c r="Y196" s="16">
        <v>0</v>
      </c>
      <c r="Z196" s="16">
        <v>1</v>
      </c>
      <c r="AA196" s="16">
        <v>1</v>
      </c>
      <c r="AB196" s="16">
        <v>1</v>
      </c>
      <c r="AC196" s="16">
        <v>0</v>
      </c>
      <c r="AD196" s="16">
        <v>0</v>
      </c>
      <c r="AE196" s="16">
        <v>1</v>
      </c>
      <c r="AF196" s="16">
        <v>1</v>
      </c>
      <c r="AG196" s="16">
        <v>1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1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0</v>
      </c>
      <c r="CK196" s="16">
        <v>0</v>
      </c>
      <c r="CL196" s="16">
        <v>0</v>
      </c>
      <c r="CM196" s="16">
        <v>0</v>
      </c>
      <c r="CN196" s="16">
        <v>0</v>
      </c>
      <c r="CO196" s="16">
        <v>0</v>
      </c>
      <c r="CP196" s="16">
        <v>0</v>
      </c>
    </row>
    <row r="197" spans="1:94" ht="18.75" x14ac:dyDescent="0.25">
      <c r="A197" s="26" t="s">
        <v>381</v>
      </c>
      <c r="B197" s="26" t="s">
        <v>30</v>
      </c>
      <c r="C197" s="26" t="s">
        <v>109</v>
      </c>
      <c r="D197" s="26" t="s">
        <v>382</v>
      </c>
      <c r="E197" s="26" t="s">
        <v>70</v>
      </c>
      <c r="F197" s="40" t="s">
        <v>383</v>
      </c>
      <c r="G197" s="26" t="s">
        <v>384</v>
      </c>
      <c r="H197" s="26" t="s">
        <v>106</v>
      </c>
      <c r="I197" s="26" t="s">
        <v>942</v>
      </c>
      <c r="J197" s="26" t="s">
        <v>398</v>
      </c>
      <c r="K197" s="26" t="s">
        <v>399</v>
      </c>
      <c r="L197" s="26"/>
      <c r="M197" s="26"/>
      <c r="N197" s="77"/>
      <c r="O197" s="80"/>
      <c r="P197" s="80"/>
      <c r="Q197" s="76">
        <f t="shared" si="20"/>
        <v>0</v>
      </c>
      <c r="R197" s="76">
        <f t="shared" si="21"/>
        <v>0</v>
      </c>
      <c r="S197" s="76">
        <f t="shared" si="22"/>
        <v>0</v>
      </c>
      <c r="T197" s="61">
        <v>30</v>
      </c>
      <c r="U197" s="16">
        <v>0</v>
      </c>
      <c r="V197" s="16">
        <v>1</v>
      </c>
      <c r="W197" s="16">
        <v>1</v>
      </c>
      <c r="X197" s="16">
        <v>1</v>
      </c>
      <c r="Y197" s="16">
        <v>1</v>
      </c>
      <c r="Z197" s="16">
        <v>1</v>
      </c>
      <c r="AA197" s="16">
        <v>1</v>
      </c>
      <c r="AB197" s="16">
        <v>1</v>
      </c>
      <c r="AC197" s="16">
        <v>0</v>
      </c>
      <c r="AD197" s="16">
        <v>0</v>
      </c>
      <c r="AE197" s="16">
        <v>1</v>
      </c>
      <c r="AF197" s="16">
        <v>1</v>
      </c>
      <c r="AG197" s="16">
        <v>1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1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</row>
    <row r="198" spans="1:94" ht="18.75" x14ac:dyDescent="0.25">
      <c r="A198" s="26" t="s">
        <v>381</v>
      </c>
      <c r="B198" s="26" t="s">
        <v>30</v>
      </c>
      <c r="C198" s="26" t="s">
        <v>109</v>
      </c>
      <c r="D198" s="26" t="s">
        <v>382</v>
      </c>
      <c r="E198" s="26" t="s">
        <v>70</v>
      </c>
      <c r="F198" s="40" t="s">
        <v>383</v>
      </c>
      <c r="G198" s="26" t="s">
        <v>384</v>
      </c>
      <c r="H198" s="26" t="s">
        <v>109</v>
      </c>
      <c r="I198" s="26" t="s">
        <v>943</v>
      </c>
      <c r="J198" s="26" t="s">
        <v>400</v>
      </c>
      <c r="K198" s="26" t="s">
        <v>401</v>
      </c>
      <c r="L198" s="26"/>
      <c r="M198" s="26"/>
      <c r="N198" s="77"/>
      <c r="O198" s="80"/>
      <c r="P198" s="80"/>
      <c r="Q198" s="76">
        <f t="shared" si="20"/>
        <v>0</v>
      </c>
      <c r="R198" s="76">
        <f t="shared" si="21"/>
        <v>0</v>
      </c>
      <c r="S198" s="76">
        <f t="shared" si="22"/>
        <v>0</v>
      </c>
      <c r="T198" s="61">
        <v>53</v>
      </c>
      <c r="U198" s="16">
        <v>0</v>
      </c>
      <c r="V198" s="16">
        <v>1</v>
      </c>
      <c r="W198" s="16">
        <v>1</v>
      </c>
      <c r="X198" s="16">
        <v>1</v>
      </c>
      <c r="Y198" s="16">
        <v>0</v>
      </c>
      <c r="Z198" s="16">
        <v>1</v>
      </c>
      <c r="AA198" s="16">
        <v>1</v>
      </c>
      <c r="AB198" s="16">
        <v>1</v>
      </c>
      <c r="AC198" s="16">
        <v>0</v>
      </c>
      <c r="AD198" s="16">
        <v>0</v>
      </c>
      <c r="AE198" s="16">
        <v>1</v>
      </c>
      <c r="AF198" s="16">
        <v>1</v>
      </c>
      <c r="AG198" s="16">
        <v>1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1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0</v>
      </c>
    </row>
    <row r="199" spans="1:94" ht="18.75" x14ac:dyDescent="0.25">
      <c r="A199" s="26" t="s">
        <v>381</v>
      </c>
      <c r="B199" s="26" t="s">
        <v>30</v>
      </c>
      <c r="C199" s="26" t="s">
        <v>109</v>
      </c>
      <c r="D199" s="26" t="s">
        <v>382</v>
      </c>
      <c r="E199" s="26" t="s">
        <v>70</v>
      </c>
      <c r="F199" s="40" t="s">
        <v>383</v>
      </c>
      <c r="G199" s="26" t="s">
        <v>384</v>
      </c>
      <c r="H199" s="26" t="s">
        <v>137</v>
      </c>
      <c r="I199" s="26" t="s">
        <v>944</v>
      </c>
      <c r="J199" s="26" t="s">
        <v>402</v>
      </c>
      <c r="K199" s="26" t="s">
        <v>403</v>
      </c>
      <c r="L199" s="26"/>
      <c r="M199" s="26"/>
      <c r="N199" s="77"/>
      <c r="O199" s="80"/>
      <c r="P199" s="80"/>
      <c r="Q199" s="76">
        <f t="shared" si="20"/>
        <v>0</v>
      </c>
      <c r="R199" s="76">
        <f t="shared" si="21"/>
        <v>0</v>
      </c>
      <c r="S199" s="76">
        <f t="shared" si="22"/>
        <v>0</v>
      </c>
      <c r="T199" s="61">
        <v>16.2</v>
      </c>
      <c r="U199" s="16">
        <v>0</v>
      </c>
      <c r="V199" s="16">
        <v>1</v>
      </c>
      <c r="W199" s="16">
        <v>1</v>
      </c>
      <c r="X199" s="16">
        <v>1</v>
      </c>
      <c r="Y199" s="16">
        <v>1</v>
      </c>
      <c r="Z199" s="16">
        <v>1</v>
      </c>
      <c r="AA199" s="16">
        <v>1</v>
      </c>
      <c r="AB199" s="16">
        <v>1</v>
      </c>
      <c r="AC199" s="16">
        <v>0</v>
      </c>
      <c r="AD199" s="16">
        <v>0</v>
      </c>
      <c r="AE199" s="16">
        <v>1</v>
      </c>
      <c r="AF199" s="16">
        <v>1</v>
      </c>
      <c r="AG199" s="16">
        <v>1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1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0</v>
      </c>
      <c r="CM199" s="16">
        <v>0</v>
      </c>
      <c r="CN199" s="16">
        <v>0</v>
      </c>
      <c r="CO199" s="16">
        <v>0</v>
      </c>
      <c r="CP199" s="16">
        <v>0</v>
      </c>
    </row>
    <row r="200" spans="1:94" ht="18.75" x14ac:dyDescent="0.25">
      <c r="A200" s="26" t="s">
        <v>381</v>
      </c>
      <c r="B200" s="26" t="s">
        <v>30</v>
      </c>
      <c r="C200" s="26" t="s">
        <v>109</v>
      </c>
      <c r="D200" s="26" t="s">
        <v>382</v>
      </c>
      <c r="E200" s="26" t="s">
        <v>70</v>
      </c>
      <c r="F200" s="40" t="s">
        <v>383</v>
      </c>
      <c r="G200" s="26" t="s">
        <v>384</v>
      </c>
      <c r="H200" s="26" t="s">
        <v>139</v>
      </c>
      <c r="I200" s="26" t="s">
        <v>945</v>
      </c>
      <c r="J200" s="26" t="s">
        <v>404</v>
      </c>
      <c r="K200" s="26" t="s">
        <v>405</v>
      </c>
      <c r="L200" s="26"/>
      <c r="M200" s="26"/>
      <c r="N200" s="77"/>
      <c r="O200" s="80"/>
      <c r="P200" s="80"/>
      <c r="Q200" s="76">
        <f t="shared" si="20"/>
        <v>0</v>
      </c>
      <c r="R200" s="76">
        <f t="shared" si="21"/>
        <v>0</v>
      </c>
      <c r="S200" s="76">
        <f t="shared" si="22"/>
        <v>0</v>
      </c>
      <c r="T200" s="61">
        <v>1.8</v>
      </c>
      <c r="U200" s="16">
        <v>0</v>
      </c>
      <c r="V200" s="16">
        <v>1</v>
      </c>
      <c r="W200" s="16">
        <v>1</v>
      </c>
      <c r="X200" s="16">
        <v>1</v>
      </c>
      <c r="Y200" s="16">
        <v>0</v>
      </c>
      <c r="Z200" s="16">
        <v>1</v>
      </c>
      <c r="AA200" s="16">
        <v>1</v>
      </c>
      <c r="AB200" s="16">
        <v>1</v>
      </c>
      <c r="AC200" s="16">
        <v>0</v>
      </c>
      <c r="AD200" s="16">
        <v>0</v>
      </c>
      <c r="AE200" s="16">
        <v>1</v>
      </c>
      <c r="AF200" s="16">
        <v>1</v>
      </c>
      <c r="AG200" s="16">
        <v>1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1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</row>
    <row r="201" spans="1:94" ht="18.75" x14ac:dyDescent="0.25">
      <c r="A201" s="26" t="s">
        <v>381</v>
      </c>
      <c r="B201" s="26" t="s">
        <v>30</v>
      </c>
      <c r="C201" s="26" t="s">
        <v>109</v>
      </c>
      <c r="D201" s="26" t="s">
        <v>382</v>
      </c>
      <c r="E201" s="26" t="s">
        <v>70</v>
      </c>
      <c r="F201" s="40" t="s">
        <v>383</v>
      </c>
      <c r="G201" s="26" t="s">
        <v>384</v>
      </c>
      <c r="H201" s="26" t="s">
        <v>143</v>
      </c>
      <c r="I201" s="26" t="s">
        <v>946</v>
      </c>
      <c r="J201" s="26" t="s">
        <v>406</v>
      </c>
      <c r="K201" s="26" t="s">
        <v>407</v>
      </c>
      <c r="L201" s="26"/>
      <c r="M201" s="26"/>
      <c r="N201" s="77"/>
      <c r="O201" s="80"/>
      <c r="P201" s="80"/>
      <c r="Q201" s="76">
        <f t="shared" si="20"/>
        <v>0</v>
      </c>
      <c r="R201" s="76">
        <f t="shared" si="21"/>
        <v>0</v>
      </c>
      <c r="S201" s="76">
        <f t="shared" si="22"/>
        <v>0</v>
      </c>
      <c r="T201" s="61">
        <v>18</v>
      </c>
      <c r="U201" s="16">
        <v>0</v>
      </c>
      <c r="V201" s="16">
        <v>1</v>
      </c>
      <c r="W201" s="16">
        <v>1</v>
      </c>
      <c r="X201" s="16">
        <v>1</v>
      </c>
      <c r="Y201" s="16">
        <v>0</v>
      </c>
      <c r="Z201" s="16">
        <v>1</v>
      </c>
      <c r="AA201" s="16">
        <v>1</v>
      </c>
      <c r="AB201" s="16">
        <v>1</v>
      </c>
      <c r="AC201" s="16">
        <v>0</v>
      </c>
      <c r="AD201" s="16">
        <v>0</v>
      </c>
      <c r="AE201" s="16">
        <v>1</v>
      </c>
      <c r="AF201" s="16">
        <v>1</v>
      </c>
      <c r="AG201" s="16">
        <v>1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1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0</v>
      </c>
      <c r="CL201" s="16">
        <v>0</v>
      </c>
      <c r="CM201" s="16">
        <v>0</v>
      </c>
      <c r="CN201" s="16">
        <v>0</v>
      </c>
      <c r="CO201" s="16">
        <v>0</v>
      </c>
      <c r="CP201" s="16">
        <v>0</v>
      </c>
    </row>
    <row r="202" spans="1:94" ht="18.75" x14ac:dyDescent="0.25">
      <c r="A202" s="26" t="s">
        <v>381</v>
      </c>
      <c r="B202" s="26" t="s">
        <v>30</v>
      </c>
      <c r="C202" s="26" t="s">
        <v>109</v>
      </c>
      <c r="D202" s="26" t="s">
        <v>382</v>
      </c>
      <c r="E202" s="26" t="s">
        <v>70</v>
      </c>
      <c r="F202" s="40" t="s">
        <v>383</v>
      </c>
      <c r="G202" s="26" t="s">
        <v>384</v>
      </c>
      <c r="H202" s="26" t="s">
        <v>145</v>
      </c>
      <c r="I202" s="26" t="s">
        <v>947</v>
      </c>
      <c r="J202" s="26" t="s">
        <v>408</v>
      </c>
      <c r="K202" s="26" t="s">
        <v>409</v>
      </c>
      <c r="L202" s="26"/>
      <c r="M202" s="26"/>
      <c r="N202" s="77"/>
      <c r="O202" s="80"/>
      <c r="P202" s="80"/>
      <c r="Q202" s="76">
        <f t="shared" si="20"/>
        <v>0</v>
      </c>
      <c r="R202" s="76">
        <f t="shared" si="21"/>
        <v>0</v>
      </c>
      <c r="S202" s="76">
        <f t="shared" si="22"/>
        <v>0</v>
      </c>
      <c r="T202" s="61">
        <v>12.2</v>
      </c>
      <c r="U202" s="16">
        <v>0</v>
      </c>
      <c r="V202" s="16">
        <v>1</v>
      </c>
      <c r="W202" s="16">
        <v>1</v>
      </c>
      <c r="X202" s="16">
        <v>1</v>
      </c>
      <c r="Y202" s="16">
        <v>0</v>
      </c>
      <c r="Z202" s="16">
        <v>1</v>
      </c>
      <c r="AA202" s="16">
        <v>1</v>
      </c>
      <c r="AB202" s="16">
        <v>1</v>
      </c>
      <c r="AC202" s="16">
        <v>0</v>
      </c>
      <c r="AD202" s="16">
        <v>0</v>
      </c>
      <c r="AE202" s="16">
        <v>1</v>
      </c>
      <c r="AF202" s="16">
        <v>1</v>
      </c>
      <c r="AG202" s="16">
        <v>1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1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0</v>
      </c>
      <c r="CK202" s="16">
        <v>0</v>
      </c>
      <c r="CL202" s="16">
        <v>0</v>
      </c>
      <c r="CM202" s="16">
        <v>0</v>
      </c>
      <c r="CN202" s="16">
        <v>0</v>
      </c>
      <c r="CO202" s="16">
        <v>0</v>
      </c>
      <c r="CP202" s="16">
        <v>0</v>
      </c>
    </row>
    <row r="203" spans="1:94" ht="18.75" x14ac:dyDescent="0.25">
      <c r="A203" s="26" t="s">
        <v>381</v>
      </c>
      <c r="B203" s="26" t="s">
        <v>30</v>
      </c>
      <c r="C203" s="26" t="s">
        <v>109</v>
      </c>
      <c r="D203" s="26" t="s">
        <v>382</v>
      </c>
      <c r="E203" s="26" t="s">
        <v>70</v>
      </c>
      <c r="F203" s="40" t="s">
        <v>383</v>
      </c>
      <c r="G203" s="26" t="s">
        <v>384</v>
      </c>
      <c r="H203" s="26" t="s">
        <v>147</v>
      </c>
      <c r="I203" s="26" t="s">
        <v>948</v>
      </c>
      <c r="J203" s="26" t="s">
        <v>410</v>
      </c>
      <c r="K203" s="26" t="s">
        <v>411</v>
      </c>
      <c r="L203" s="26"/>
      <c r="M203" s="26"/>
      <c r="N203" s="77"/>
      <c r="O203" s="80"/>
      <c r="P203" s="80"/>
      <c r="Q203" s="76">
        <f t="shared" si="20"/>
        <v>0</v>
      </c>
      <c r="R203" s="76">
        <f t="shared" si="21"/>
        <v>0</v>
      </c>
      <c r="S203" s="76">
        <f t="shared" si="22"/>
        <v>0</v>
      </c>
      <c r="T203" s="61">
        <v>14</v>
      </c>
      <c r="U203" s="16">
        <v>0</v>
      </c>
      <c r="V203" s="16">
        <v>1</v>
      </c>
      <c r="W203" s="16">
        <v>1</v>
      </c>
      <c r="X203" s="16">
        <v>1</v>
      </c>
      <c r="Y203" s="16">
        <v>0</v>
      </c>
      <c r="Z203" s="16">
        <v>1</v>
      </c>
      <c r="AA203" s="16">
        <v>1</v>
      </c>
      <c r="AB203" s="16">
        <v>1</v>
      </c>
      <c r="AC203" s="16">
        <v>0</v>
      </c>
      <c r="AD203" s="16">
        <v>0</v>
      </c>
      <c r="AE203" s="16">
        <v>1</v>
      </c>
      <c r="AF203" s="16">
        <v>1</v>
      </c>
      <c r="AG203" s="16">
        <v>1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1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0</v>
      </c>
      <c r="CJ203" s="16">
        <v>0</v>
      </c>
      <c r="CK203" s="16">
        <v>0</v>
      </c>
      <c r="CL203" s="16">
        <v>0</v>
      </c>
      <c r="CM203" s="16">
        <v>0</v>
      </c>
      <c r="CN203" s="16">
        <v>0</v>
      </c>
      <c r="CO203" s="16">
        <v>0</v>
      </c>
      <c r="CP203" s="16">
        <v>0</v>
      </c>
    </row>
    <row r="204" spans="1:94" ht="18.75" x14ac:dyDescent="0.25">
      <c r="A204" s="26" t="s">
        <v>381</v>
      </c>
      <c r="B204" s="26" t="s">
        <v>30</v>
      </c>
      <c r="C204" s="26" t="s">
        <v>109</v>
      </c>
      <c r="D204" s="26" t="s">
        <v>382</v>
      </c>
      <c r="E204" s="26" t="s">
        <v>70</v>
      </c>
      <c r="F204" s="40" t="s">
        <v>383</v>
      </c>
      <c r="G204" s="26" t="s">
        <v>384</v>
      </c>
      <c r="H204" s="26" t="s">
        <v>151</v>
      </c>
      <c r="I204" s="26" t="s">
        <v>949</v>
      </c>
      <c r="J204" s="26" t="s">
        <v>414</v>
      </c>
      <c r="K204" s="26" t="s">
        <v>415</v>
      </c>
      <c r="L204" s="26"/>
      <c r="M204" s="26"/>
      <c r="N204" s="77"/>
      <c r="O204" s="80"/>
      <c r="P204" s="80"/>
      <c r="Q204" s="76">
        <f t="shared" si="20"/>
        <v>0</v>
      </c>
      <c r="R204" s="76">
        <f t="shared" si="21"/>
        <v>0</v>
      </c>
      <c r="S204" s="76">
        <f t="shared" si="22"/>
        <v>0</v>
      </c>
      <c r="T204" s="61">
        <v>12</v>
      </c>
      <c r="U204" s="16">
        <v>0</v>
      </c>
      <c r="V204" s="16">
        <v>1</v>
      </c>
      <c r="W204" s="16">
        <v>1</v>
      </c>
      <c r="X204" s="16">
        <v>1</v>
      </c>
      <c r="Y204" s="16">
        <v>0</v>
      </c>
      <c r="Z204" s="16">
        <v>1</v>
      </c>
      <c r="AA204" s="16">
        <v>1</v>
      </c>
      <c r="AB204" s="16">
        <v>1</v>
      </c>
      <c r="AC204" s="16">
        <v>0</v>
      </c>
      <c r="AD204" s="16">
        <v>0</v>
      </c>
      <c r="AE204" s="16">
        <v>1</v>
      </c>
      <c r="AF204" s="16">
        <v>1</v>
      </c>
      <c r="AG204" s="16">
        <v>1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1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</row>
    <row r="205" spans="1:94" ht="18.75" x14ac:dyDescent="0.25">
      <c r="A205" s="26" t="s">
        <v>381</v>
      </c>
      <c r="B205" s="26" t="s">
        <v>30</v>
      </c>
      <c r="C205" s="26" t="s">
        <v>109</v>
      </c>
      <c r="D205" s="26" t="s">
        <v>382</v>
      </c>
      <c r="E205" s="26" t="s">
        <v>70</v>
      </c>
      <c r="F205" s="40" t="s">
        <v>383</v>
      </c>
      <c r="G205" s="26" t="s">
        <v>384</v>
      </c>
      <c r="H205" s="26" t="s">
        <v>153</v>
      </c>
      <c r="I205" s="26" t="s">
        <v>950</v>
      </c>
      <c r="J205" s="26" t="s">
        <v>416</v>
      </c>
      <c r="K205" s="26" t="s">
        <v>417</v>
      </c>
      <c r="L205" s="26"/>
      <c r="M205" s="26"/>
      <c r="N205" s="77"/>
      <c r="O205" s="80"/>
      <c r="P205" s="80"/>
      <c r="Q205" s="76">
        <f t="shared" si="20"/>
        <v>0</v>
      </c>
      <c r="R205" s="76">
        <f t="shared" si="21"/>
        <v>0</v>
      </c>
      <c r="S205" s="76">
        <f t="shared" si="22"/>
        <v>0</v>
      </c>
      <c r="T205" s="61">
        <v>22.6</v>
      </c>
      <c r="U205" s="16">
        <v>0</v>
      </c>
      <c r="V205" s="16">
        <v>1</v>
      </c>
      <c r="W205" s="16">
        <v>1</v>
      </c>
      <c r="X205" s="16">
        <v>1</v>
      </c>
      <c r="Y205" s="16">
        <v>0</v>
      </c>
      <c r="Z205" s="16">
        <v>1</v>
      </c>
      <c r="AA205" s="16">
        <v>1</v>
      </c>
      <c r="AB205" s="16">
        <v>1</v>
      </c>
      <c r="AC205" s="16">
        <v>0</v>
      </c>
      <c r="AD205" s="16">
        <v>0</v>
      </c>
      <c r="AE205" s="16">
        <v>1</v>
      </c>
      <c r="AF205" s="16">
        <v>1</v>
      </c>
      <c r="AG205" s="16">
        <v>1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1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</row>
    <row r="206" spans="1:94" ht="18.75" x14ac:dyDescent="0.25">
      <c r="A206" s="26" t="s">
        <v>381</v>
      </c>
      <c r="B206" s="26" t="s">
        <v>30</v>
      </c>
      <c r="C206" s="26" t="s">
        <v>109</v>
      </c>
      <c r="D206" s="26" t="s">
        <v>382</v>
      </c>
      <c r="E206" s="26" t="s">
        <v>70</v>
      </c>
      <c r="F206" s="40" t="s">
        <v>383</v>
      </c>
      <c r="G206" s="26" t="s">
        <v>384</v>
      </c>
      <c r="H206" s="26" t="s">
        <v>155</v>
      </c>
      <c r="I206" s="26" t="s">
        <v>951</v>
      </c>
      <c r="J206" s="26" t="s">
        <v>1491</v>
      </c>
      <c r="K206" s="26" t="s">
        <v>418</v>
      </c>
      <c r="L206" s="26"/>
      <c r="M206" s="26"/>
      <c r="N206" s="77"/>
      <c r="O206" s="80"/>
      <c r="P206" s="80"/>
      <c r="Q206" s="76">
        <f t="shared" si="20"/>
        <v>0</v>
      </c>
      <c r="R206" s="76">
        <f t="shared" si="21"/>
        <v>0</v>
      </c>
      <c r="S206" s="76">
        <f t="shared" si="22"/>
        <v>0</v>
      </c>
      <c r="T206" s="61">
        <v>45</v>
      </c>
      <c r="U206" s="16">
        <v>0</v>
      </c>
      <c r="V206" s="16">
        <v>1</v>
      </c>
      <c r="W206" s="16">
        <v>1</v>
      </c>
      <c r="X206" s="16">
        <v>1</v>
      </c>
      <c r="Y206" s="16">
        <v>0</v>
      </c>
      <c r="Z206" s="16">
        <v>1</v>
      </c>
      <c r="AA206" s="16">
        <v>1</v>
      </c>
      <c r="AB206" s="16">
        <v>1</v>
      </c>
      <c r="AC206" s="16">
        <v>0</v>
      </c>
      <c r="AD206" s="16">
        <v>0</v>
      </c>
      <c r="AE206" s="16">
        <v>1</v>
      </c>
      <c r="AF206" s="16">
        <v>1</v>
      </c>
      <c r="AG206" s="16">
        <v>1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1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0</v>
      </c>
      <c r="CJ206" s="16">
        <v>0</v>
      </c>
      <c r="CK206" s="16">
        <v>0</v>
      </c>
      <c r="CL206" s="16">
        <v>0</v>
      </c>
      <c r="CM206" s="16">
        <v>0</v>
      </c>
      <c r="CN206" s="16">
        <v>0</v>
      </c>
      <c r="CO206" s="16">
        <v>0</v>
      </c>
      <c r="CP206" s="16">
        <v>0</v>
      </c>
    </row>
    <row r="207" spans="1:94" ht="18.75" x14ac:dyDescent="0.25">
      <c r="A207" s="26" t="s">
        <v>381</v>
      </c>
      <c r="B207" s="26" t="s">
        <v>30</v>
      </c>
      <c r="C207" s="26" t="s">
        <v>109</v>
      </c>
      <c r="D207" s="26" t="s">
        <v>382</v>
      </c>
      <c r="E207" s="26" t="s">
        <v>70</v>
      </c>
      <c r="F207" s="40" t="s">
        <v>383</v>
      </c>
      <c r="G207" s="26" t="s">
        <v>384</v>
      </c>
      <c r="H207" s="26" t="s">
        <v>419</v>
      </c>
      <c r="I207" s="26" t="s">
        <v>952</v>
      </c>
      <c r="J207" s="26" t="s">
        <v>420</v>
      </c>
      <c r="K207" s="26" t="s">
        <v>421</v>
      </c>
      <c r="L207" s="26"/>
      <c r="M207" s="26"/>
      <c r="N207" s="77"/>
      <c r="O207" s="80"/>
      <c r="P207" s="80"/>
      <c r="Q207" s="76">
        <f t="shared" si="20"/>
        <v>0</v>
      </c>
      <c r="R207" s="76">
        <f t="shared" si="21"/>
        <v>0</v>
      </c>
      <c r="S207" s="76">
        <f t="shared" si="22"/>
        <v>0</v>
      </c>
      <c r="T207" s="61">
        <v>9.25</v>
      </c>
      <c r="U207" s="16">
        <v>0</v>
      </c>
      <c r="V207" s="16">
        <v>1</v>
      </c>
      <c r="W207" s="16">
        <v>1</v>
      </c>
      <c r="X207" s="16">
        <v>1</v>
      </c>
      <c r="Y207" s="16">
        <v>0</v>
      </c>
      <c r="Z207" s="16">
        <v>1</v>
      </c>
      <c r="AA207" s="16">
        <v>1</v>
      </c>
      <c r="AB207" s="16">
        <v>1</v>
      </c>
      <c r="AC207" s="16">
        <v>0</v>
      </c>
      <c r="AD207" s="16">
        <v>0</v>
      </c>
      <c r="AE207" s="16">
        <v>1</v>
      </c>
      <c r="AF207" s="16">
        <v>1</v>
      </c>
      <c r="AG207" s="16">
        <v>1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1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0</v>
      </c>
      <c r="CI207" s="16">
        <v>0</v>
      </c>
      <c r="CJ207" s="16">
        <v>0</v>
      </c>
      <c r="CK207" s="16">
        <v>0</v>
      </c>
      <c r="CL207" s="16">
        <v>0</v>
      </c>
      <c r="CM207" s="16">
        <v>0</v>
      </c>
      <c r="CN207" s="16">
        <v>0</v>
      </c>
      <c r="CO207" s="16">
        <v>0</v>
      </c>
      <c r="CP207" s="16">
        <v>0</v>
      </c>
    </row>
    <row r="208" spans="1:94" ht="18.75" x14ac:dyDescent="0.25">
      <c r="A208" s="26" t="s">
        <v>381</v>
      </c>
      <c r="B208" s="26" t="s">
        <v>30</v>
      </c>
      <c r="C208" s="26" t="s">
        <v>109</v>
      </c>
      <c r="D208" s="26" t="s">
        <v>382</v>
      </c>
      <c r="E208" s="26" t="s">
        <v>70</v>
      </c>
      <c r="F208" s="40" t="s">
        <v>383</v>
      </c>
      <c r="G208" s="26" t="s">
        <v>384</v>
      </c>
      <c r="H208" s="26" t="s">
        <v>422</v>
      </c>
      <c r="I208" s="26" t="s">
        <v>953</v>
      </c>
      <c r="J208" s="26" t="s">
        <v>423</v>
      </c>
      <c r="K208" s="26" t="s">
        <v>424</v>
      </c>
      <c r="L208" s="26"/>
      <c r="M208" s="26"/>
      <c r="N208" s="77"/>
      <c r="O208" s="80"/>
      <c r="P208" s="80"/>
      <c r="Q208" s="76">
        <f t="shared" si="20"/>
        <v>0</v>
      </c>
      <c r="R208" s="76">
        <f t="shared" si="21"/>
        <v>0</v>
      </c>
      <c r="S208" s="76">
        <f t="shared" si="22"/>
        <v>0</v>
      </c>
      <c r="T208" s="61">
        <v>6</v>
      </c>
      <c r="U208" s="16">
        <v>0</v>
      </c>
      <c r="V208" s="16">
        <v>1</v>
      </c>
      <c r="W208" s="16">
        <v>1</v>
      </c>
      <c r="X208" s="16">
        <v>1</v>
      </c>
      <c r="Y208" s="16">
        <v>0</v>
      </c>
      <c r="Z208" s="16">
        <v>1</v>
      </c>
      <c r="AA208" s="16">
        <v>1</v>
      </c>
      <c r="AB208" s="16">
        <v>1</v>
      </c>
      <c r="AC208" s="16">
        <v>0</v>
      </c>
      <c r="AD208" s="16">
        <v>0</v>
      </c>
      <c r="AE208" s="16">
        <v>1</v>
      </c>
      <c r="AF208" s="16">
        <v>1</v>
      </c>
      <c r="AG208" s="16">
        <v>1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1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0</v>
      </c>
      <c r="CI208" s="16">
        <v>0</v>
      </c>
      <c r="CJ208" s="16">
        <v>0</v>
      </c>
      <c r="CK208" s="16">
        <v>0</v>
      </c>
      <c r="CL208" s="16">
        <v>0</v>
      </c>
      <c r="CM208" s="16">
        <v>0</v>
      </c>
      <c r="CN208" s="16">
        <v>0</v>
      </c>
      <c r="CO208" s="16">
        <v>0</v>
      </c>
      <c r="CP208" s="16">
        <v>0</v>
      </c>
    </row>
    <row r="209" spans="1:94" ht="18.75" x14ac:dyDescent="0.25">
      <c r="A209" s="26" t="s">
        <v>381</v>
      </c>
      <c r="B209" s="26" t="s">
        <v>30</v>
      </c>
      <c r="C209" s="26" t="s">
        <v>109</v>
      </c>
      <c r="D209" s="26" t="s">
        <v>382</v>
      </c>
      <c r="E209" s="26" t="s">
        <v>70</v>
      </c>
      <c r="F209" s="40" t="s">
        <v>383</v>
      </c>
      <c r="G209" s="26" t="s">
        <v>384</v>
      </c>
      <c r="H209" s="26" t="s">
        <v>290</v>
      </c>
      <c r="I209" s="26" t="s">
        <v>954</v>
      </c>
      <c r="J209" s="26" t="s">
        <v>425</v>
      </c>
      <c r="K209" s="26" t="s">
        <v>426</v>
      </c>
      <c r="L209" s="26"/>
      <c r="M209" s="26"/>
      <c r="N209" s="77"/>
      <c r="O209" s="80"/>
      <c r="P209" s="80"/>
      <c r="Q209" s="76">
        <f t="shared" si="20"/>
        <v>0</v>
      </c>
      <c r="R209" s="76">
        <f t="shared" si="21"/>
        <v>0</v>
      </c>
      <c r="S209" s="76">
        <f t="shared" si="22"/>
        <v>0</v>
      </c>
      <c r="T209" s="61">
        <v>30</v>
      </c>
      <c r="U209" s="16">
        <v>0</v>
      </c>
      <c r="V209" s="16">
        <v>1</v>
      </c>
      <c r="W209" s="16">
        <v>1</v>
      </c>
      <c r="X209" s="16">
        <v>1</v>
      </c>
      <c r="Y209" s="16">
        <v>0</v>
      </c>
      <c r="Z209" s="16">
        <v>1</v>
      </c>
      <c r="AA209" s="16">
        <v>1</v>
      </c>
      <c r="AB209" s="16">
        <v>1</v>
      </c>
      <c r="AC209" s="16">
        <v>0</v>
      </c>
      <c r="AD209" s="16">
        <v>0</v>
      </c>
      <c r="AE209" s="16">
        <v>1</v>
      </c>
      <c r="AF209" s="16">
        <v>1</v>
      </c>
      <c r="AG209" s="16">
        <v>1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1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0</v>
      </c>
      <c r="CN209" s="16">
        <v>0</v>
      </c>
      <c r="CO209" s="16">
        <v>0</v>
      </c>
      <c r="CP209" s="16">
        <v>0</v>
      </c>
    </row>
    <row r="210" spans="1:94" ht="18.75" x14ac:dyDescent="0.25">
      <c r="A210" s="26" t="s">
        <v>381</v>
      </c>
      <c r="B210" s="26" t="s">
        <v>30</v>
      </c>
      <c r="C210" s="26" t="s">
        <v>109</v>
      </c>
      <c r="D210" s="26" t="s">
        <v>382</v>
      </c>
      <c r="E210" s="26" t="s">
        <v>70</v>
      </c>
      <c r="F210" s="40" t="s">
        <v>383</v>
      </c>
      <c r="G210" s="26" t="s">
        <v>384</v>
      </c>
      <c r="H210" s="26" t="s">
        <v>223</v>
      </c>
      <c r="I210" s="26" t="s">
        <v>955</v>
      </c>
      <c r="J210" s="26" t="s">
        <v>427</v>
      </c>
      <c r="K210" s="26" t="s">
        <v>428</v>
      </c>
      <c r="L210" s="26"/>
      <c r="M210" s="26"/>
      <c r="N210" s="77"/>
      <c r="O210" s="80"/>
      <c r="P210" s="80"/>
      <c r="Q210" s="76">
        <f t="shared" si="20"/>
        <v>0</v>
      </c>
      <c r="R210" s="76">
        <f t="shared" si="21"/>
        <v>0</v>
      </c>
      <c r="S210" s="76">
        <f t="shared" si="22"/>
        <v>0</v>
      </c>
      <c r="T210" s="61">
        <v>19.5</v>
      </c>
      <c r="U210" s="16">
        <v>0</v>
      </c>
      <c r="V210" s="16">
        <v>1</v>
      </c>
      <c r="W210" s="16">
        <v>1</v>
      </c>
      <c r="X210" s="16">
        <v>1</v>
      </c>
      <c r="Y210" s="16">
        <v>0</v>
      </c>
      <c r="Z210" s="16">
        <v>1</v>
      </c>
      <c r="AA210" s="16">
        <v>1</v>
      </c>
      <c r="AB210" s="16">
        <v>1</v>
      </c>
      <c r="AC210" s="16">
        <v>0</v>
      </c>
      <c r="AD210" s="16">
        <v>0</v>
      </c>
      <c r="AE210" s="16">
        <v>1</v>
      </c>
      <c r="AF210" s="16">
        <v>1</v>
      </c>
      <c r="AG210" s="16">
        <v>1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1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0</v>
      </c>
      <c r="CO210" s="16">
        <v>0</v>
      </c>
      <c r="CP210" s="16">
        <v>0</v>
      </c>
    </row>
    <row r="211" spans="1:94" ht="18.75" x14ac:dyDescent="0.25">
      <c r="A211" s="26" t="s">
        <v>381</v>
      </c>
      <c r="B211" s="26" t="s">
        <v>30</v>
      </c>
      <c r="C211" s="26" t="s">
        <v>109</v>
      </c>
      <c r="D211" s="26" t="s">
        <v>382</v>
      </c>
      <c r="E211" s="26" t="s">
        <v>70</v>
      </c>
      <c r="F211" s="40" t="s">
        <v>383</v>
      </c>
      <c r="G211" s="26" t="s">
        <v>384</v>
      </c>
      <c r="H211" s="26" t="s">
        <v>429</v>
      </c>
      <c r="I211" s="26" t="s">
        <v>956</v>
      </c>
      <c r="J211" s="26" t="s">
        <v>430</v>
      </c>
      <c r="K211" s="26" t="s">
        <v>431</v>
      </c>
      <c r="L211" s="26"/>
      <c r="M211" s="26"/>
      <c r="N211" s="77"/>
      <c r="O211" s="80"/>
      <c r="P211" s="80"/>
      <c r="Q211" s="76">
        <f t="shared" si="20"/>
        <v>0</v>
      </c>
      <c r="R211" s="76">
        <f t="shared" si="21"/>
        <v>0</v>
      </c>
      <c r="S211" s="76">
        <f t="shared" si="22"/>
        <v>0</v>
      </c>
      <c r="T211" s="61">
        <v>1</v>
      </c>
      <c r="U211" s="16">
        <v>0</v>
      </c>
      <c r="V211" s="16">
        <v>1</v>
      </c>
      <c r="W211" s="16">
        <v>1</v>
      </c>
      <c r="X211" s="16">
        <v>1</v>
      </c>
      <c r="Y211" s="16">
        <v>0</v>
      </c>
      <c r="Z211" s="16">
        <v>1</v>
      </c>
      <c r="AA211" s="16">
        <v>1</v>
      </c>
      <c r="AB211" s="16">
        <v>1</v>
      </c>
      <c r="AC211" s="16">
        <v>0</v>
      </c>
      <c r="AD211" s="16">
        <v>0</v>
      </c>
      <c r="AE211" s="16">
        <v>1</v>
      </c>
      <c r="AF211" s="16">
        <v>1</v>
      </c>
      <c r="AG211" s="16">
        <v>1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1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0</v>
      </c>
    </row>
    <row r="212" spans="1:94" ht="18.75" x14ac:dyDescent="0.25">
      <c r="A212" s="26" t="s">
        <v>381</v>
      </c>
      <c r="B212" s="26" t="s">
        <v>30</v>
      </c>
      <c r="C212" s="26" t="s">
        <v>109</v>
      </c>
      <c r="D212" s="26" t="s">
        <v>382</v>
      </c>
      <c r="E212" s="26" t="s">
        <v>70</v>
      </c>
      <c r="F212" s="40" t="s">
        <v>383</v>
      </c>
      <c r="G212" s="26" t="s">
        <v>384</v>
      </c>
      <c r="H212" s="26" t="s">
        <v>432</v>
      </c>
      <c r="I212" s="26" t="s">
        <v>957</v>
      </c>
      <c r="J212" s="26" t="s">
        <v>433</v>
      </c>
      <c r="K212" s="26" t="s">
        <v>434</v>
      </c>
      <c r="L212" s="26"/>
      <c r="M212" s="26"/>
      <c r="N212" s="77"/>
      <c r="O212" s="80"/>
      <c r="P212" s="80"/>
      <c r="Q212" s="76">
        <f t="shared" si="20"/>
        <v>0</v>
      </c>
      <c r="R212" s="76">
        <f t="shared" si="21"/>
        <v>0</v>
      </c>
      <c r="S212" s="76">
        <f t="shared" si="22"/>
        <v>0</v>
      </c>
      <c r="T212" s="61">
        <v>650</v>
      </c>
      <c r="U212" s="16">
        <v>0</v>
      </c>
      <c r="V212" s="16">
        <v>1</v>
      </c>
      <c r="W212" s="16">
        <v>1</v>
      </c>
      <c r="X212" s="16">
        <v>1</v>
      </c>
      <c r="Y212" s="16">
        <v>0</v>
      </c>
      <c r="Z212" s="16">
        <v>1</v>
      </c>
      <c r="AA212" s="16">
        <v>1</v>
      </c>
      <c r="AB212" s="16">
        <v>1</v>
      </c>
      <c r="AC212" s="16">
        <v>0</v>
      </c>
      <c r="AD212" s="16">
        <v>0</v>
      </c>
      <c r="AE212" s="16">
        <v>1</v>
      </c>
      <c r="AF212" s="16">
        <v>1</v>
      </c>
      <c r="AG212" s="16">
        <v>1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1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</row>
    <row r="213" spans="1:94" ht="18.75" x14ac:dyDescent="0.25">
      <c r="A213" s="26" t="s">
        <v>381</v>
      </c>
      <c r="B213" s="26" t="s">
        <v>30</v>
      </c>
      <c r="C213" s="26" t="s">
        <v>109</v>
      </c>
      <c r="D213" s="26" t="s">
        <v>382</v>
      </c>
      <c r="E213" s="26" t="s">
        <v>70</v>
      </c>
      <c r="F213" s="40" t="s">
        <v>383</v>
      </c>
      <c r="G213" s="26" t="s">
        <v>384</v>
      </c>
      <c r="H213" s="26" t="s">
        <v>435</v>
      </c>
      <c r="I213" s="26" t="s">
        <v>958</v>
      </c>
      <c r="J213" s="26" t="s">
        <v>436</v>
      </c>
      <c r="K213" s="26" t="s">
        <v>437</v>
      </c>
      <c r="L213" s="26"/>
      <c r="M213" s="26"/>
      <c r="N213" s="77"/>
      <c r="O213" s="80"/>
      <c r="P213" s="80"/>
      <c r="Q213" s="76">
        <f t="shared" si="20"/>
        <v>0</v>
      </c>
      <c r="R213" s="76">
        <f t="shared" si="21"/>
        <v>0</v>
      </c>
      <c r="S213" s="76">
        <f t="shared" si="22"/>
        <v>0</v>
      </c>
      <c r="T213" s="61">
        <v>540</v>
      </c>
      <c r="U213" s="16">
        <v>0</v>
      </c>
      <c r="V213" s="16">
        <v>1</v>
      </c>
      <c r="W213" s="16">
        <v>1</v>
      </c>
      <c r="X213" s="16">
        <v>1</v>
      </c>
      <c r="Y213" s="16">
        <v>0</v>
      </c>
      <c r="Z213" s="16">
        <v>1</v>
      </c>
      <c r="AA213" s="16">
        <v>1</v>
      </c>
      <c r="AB213" s="16">
        <v>1</v>
      </c>
      <c r="AC213" s="16">
        <v>0</v>
      </c>
      <c r="AD213" s="16">
        <v>0</v>
      </c>
      <c r="AE213" s="16">
        <v>1</v>
      </c>
      <c r="AF213" s="16">
        <v>1</v>
      </c>
      <c r="AG213" s="16">
        <v>1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1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0</v>
      </c>
      <c r="CJ213" s="16">
        <v>0</v>
      </c>
      <c r="CK213" s="16">
        <v>0</v>
      </c>
      <c r="CL213" s="16">
        <v>0</v>
      </c>
      <c r="CM213" s="16">
        <v>0</v>
      </c>
      <c r="CN213" s="16">
        <v>0</v>
      </c>
      <c r="CO213" s="16">
        <v>0</v>
      </c>
      <c r="CP213" s="16">
        <v>0</v>
      </c>
    </row>
    <row r="214" spans="1:94" ht="18.75" x14ac:dyDescent="0.25">
      <c r="A214" s="26" t="s">
        <v>381</v>
      </c>
      <c r="B214" s="26" t="s">
        <v>30</v>
      </c>
      <c r="C214" s="26" t="s">
        <v>109</v>
      </c>
      <c r="D214" s="26" t="s">
        <v>382</v>
      </c>
      <c r="E214" s="26" t="s">
        <v>70</v>
      </c>
      <c r="F214" s="40" t="s">
        <v>383</v>
      </c>
      <c r="G214" s="26" t="s">
        <v>384</v>
      </c>
      <c r="H214" s="26" t="s">
        <v>438</v>
      </c>
      <c r="I214" s="26" t="s">
        <v>959</v>
      </c>
      <c r="J214" s="26" t="s">
        <v>439</v>
      </c>
      <c r="K214" s="26" t="s">
        <v>440</v>
      </c>
      <c r="L214" s="26"/>
      <c r="M214" s="26"/>
      <c r="N214" s="77"/>
      <c r="O214" s="80"/>
      <c r="P214" s="80"/>
      <c r="Q214" s="76">
        <f t="shared" si="20"/>
        <v>0</v>
      </c>
      <c r="R214" s="76">
        <f t="shared" si="21"/>
        <v>0</v>
      </c>
      <c r="S214" s="76">
        <f t="shared" si="22"/>
        <v>0</v>
      </c>
      <c r="T214" s="61">
        <v>0</v>
      </c>
      <c r="U214" s="16">
        <v>0</v>
      </c>
      <c r="V214" s="16">
        <v>1</v>
      </c>
      <c r="W214" s="16">
        <v>1</v>
      </c>
      <c r="X214" s="16">
        <v>1</v>
      </c>
      <c r="Y214" s="16">
        <v>0</v>
      </c>
      <c r="Z214" s="16">
        <v>1</v>
      </c>
      <c r="AA214" s="16">
        <v>1</v>
      </c>
      <c r="AB214" s="16">
        <v>1</v>
      </c>
      <c r="AC214" s="16">
        <v>0</v>
      </c>
      <c r="AD214" s="16">
        <v>0</v>
      </c>
      <c r="AE214" s="16">
        <v>1</v>
      </c>
      <c r="AF214" s="16">
        <v>1</v>
      </c>
      <c r="AG214" s="16">
        <v>1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1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0</v>
      </c>
      <c r="CJ214" s="16">
        <v>0</v>
      </c>
      <c r="CK214" s="16">
        <v>0</v>
      </c>
      <c r="CL214" s="16">
        <v>0</v>
      </c>
      <c r="CM214" s="16">
        <v>0</v>
      </c>
      <c r="CN214" s="16">
        <v>0</v>
      </c>
      <c r="CO214" s="16">
        <v>0</v>
      </c>
      <c r="CP214" s="16">
        <v>0</v>
      </c>
    </row>
    <row r="215" spans="1:94" ht="18.75" x14ac:dyDescent="0.25">
      <c r="A215" s="26" t="s">
        <v>381</v>
      </c>
      <c r="B215" s="26" t="s">
        <v>30</v>
      </c>
      <c r="C215" s="26" t="s">
        <v>109</v>
      </c>
      <c r="D215" s="26" t="s">
        <v>382</v>
      </c>
      <c r="E215" s="26" t="s">
        <v>70</v>
      </c>
      <c r="F215" s="40" t="s">
        <v>383</v>
      </c>
      <c r="G215" s="26" t="s">
        <v>384</v>
      </c>
      <c r="H215" s="26" t="s">
        <v>180</v>
      </c>
      <c r="I215" s="26" t="s">
        <v>960</v>
      </c>
      <c r="J215" s="26" t="s">
        <v>441</v>
      </c>
      <c r="K215" s="26" t="s">
        <v>442</v>
      </c>
      <c r="L215" s="26"/>
      <c r="M215" s="26"/>
      <c r="N215" s="77"/>
      <c r="O215" s="80"/>
      <c r="P215" s="80"/>
      <c r="Q215" s="76">
        <f t="shared" si="20"/>
        <v>0</v>
      </c>
      <c r="R215" s="76">
        <f t="shared" si="21"/>
        <v>0</v>
      </c>
      <c r="S215" s="76">
        <f t="shared" si="22"/>
        <v>0</v>
      </c>
      <c r="T215" s="61">
        <v>2</v>
      </c>
      <c r="U215" s="16">
        <v>0</v>
      </c>
      <c r="V215" s="16">
        <v>1</v>
      </c>
      <c r="W215" s="16">
        <v>1</v>
      </c>
      <c r="X215" s="16">
        <v>1</v>
      </c>
      <c r="Y215" s="16">
        <v>0</v>
      </c>
      <c r="Z215" s="16">
        <v>1</v>
      </c>
      <c r="AA215" s="16">
        <v>1</v>
      </c>
      <c r="AB215" s="16">
        <v>1</v>
      </c>
      <c r="AC215" s="16">
        <v>0</v>
      </c>
      <c r="AD215" s="16">
        <v>0</v>
      </c>
      <c r="AE215" s="16">
        <v>1</v>
      </c>
      <c r="AF215" s="16">
        <v>1</v>
      </c>
      <c r="AG215" s="16">
        <v>1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1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0</v>
      </c>
      <c r="CO215" s="16">
        <v>0</v>
      </c>
      <c r="CP215" s="16">
        <v>0</v>
      </c>
    </row>
    <row r="216" spans="1:94" ht="18.75" x14ac:dyDescent="0.25">
      <c r="A216" s="26" t="s">
        <v>381</v>
      </c>
      <c r="B216" s="26" t="s">
        <v>30</v>
      </c>
      <c r="C216" s="26" t="s">
        <v>109</v>
      </c>
      <c r="D216" s="26" t="s">
        <v>382</v>
      </c>
      <c r="E216" s="26" t="s">
        <v>70</v>
      </c>
      <c r="F216" s="40" t="s">
        <v>383</v>
      </c>
      <c r="G216" s="26" t="s">
        <v>384</v>
      </c>
      <c r="H216" s="26" t="s">
        <v>337</v>
      </c>
      <c r="I216" s="26" t="s">
        <v>961</v>
      </c>
      <c r="J216" s="26" t="s">
        <v>443</v>
      </c>
      <c r="K216" s="26" t="s">
        <v>444</v>
      </c>
      <c r="L216" s="26"/>
      <c r="M216" s="26"/>
      <c r="N216" s="77"/>
      <c r="O216" s="80"/>
      <c r="P216" s="80"/>
      <c r="Q216" s="76">
        <f t="shared" si="20"/>
        <v>0</v>
      </c>
      <c r="R216" s="76">
        <f t="shared" si="21"/>
        <v>0</v>
      </c>
      <c r="S216" s="76">
        <f t="shared" si="22"/>
        <v>0</v>
      </c>
      <c r="T216" s="61">
        <v>12</v>
      </c>
      <c r="U216" s="16">
        <v>0</v>
      </c>
      <c r="V216" s="16">
        <v>1</v>
      </c>
      <c r="W216" s="16">
        <v>1</v>
      </c>
      <c r="X216" s="16">
        <v>1</v>
      </c>
      <c r="Y216" s="16">
        <v>0</v>
      </c>
      <c r="Z216" s="16">
        <v>1</v>
      </c>
      <c r="AA216" s="16">
        <v>1</v>
      </c>
      <c r="AB216" s="16">
        <v>1</v>
      </c>
      <c r="AC216" s="16">
        <v>0</v>
      </c>
      <c r="AD216" s="16">
        <v>0</v>
      </c>
      <c r="AE216" s="16">
        <v>1</v>
      </c>
      <c r="AF216" s="16">
        <v>1</v>
      </c>
      <c r="AG216" s="16">
        <v>1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1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0</v>
      </c>
      <c r="CI216" s="16">
        <v>0</v>
      </c>
      <c r="CJ216" s="16">
        <v>0</v>
      </c>
      <c r="CK216" s="16">
        <v>0</v>
      </c>
      <c r="CL216" s="16">
        <v>0</v>
      </c>
      <c r="CM216" s="16">
        <v>0</v>
      </c>
      <c r="CN216" s="16">
        <v>0</v>
      </c>
      <c r="CO216" s="16">
        <v>0</v>
      </c>
      <c r="CP216" s="16">
        <v>0</v>
      </c>
    </row>
    <row r="217" spans="1:94" ht="18.75" x14ac:dyDescent="0.25">
      <c r="A217" s="26" t="s">
        <v>381</v>
      </c>
      <c r="B217" s="26" t="s">
        <v>30</v>
      </c>
      <c r="C217" s="26" t="s">
        <v>109</v>
      </c>
      <c r="D217" s="26" t="s">
        <v>382</v>
      </c>
      <c r="E217" s="26" t="s">
        <v>70</v>
      </c>
      <c r="F217" s="40" t="s">
        <v>383</v>
      </c>
      <c r="G217" s="26" t="s">
        <v>384</v>
      </c>
      <c r="H217" s="26" t="s">
        <v>350</v>
      </c>
      <c r="I217" s="26" t="s">
        <v>962</v>
      </c>
      <c r="J217" s="26" t="s">
        <v>445</v>
      </c>
      <c r="K217" s="26" t="s">
        <v>446</v>
      </c>
      <c r="L217" s="26"/>
      <c r="M217" s="26"/>
      <c r="N217" s="77"/>
      <c r="O217" s="80"/>
      <c r="P217" s="80"/>
      <c r="Q217" s="76">
        <f t="shared" si="20"/>
        <v>0</v>
      </c>
      <c r="R217" s="76">
        <f t="shared" si="21"/>
        <v>0</v>
      </c>
      <c r="S217" s="76">
        <f t="shared" si="22"/>
        <v>0</v>
      </c>
      <c r="T217" s="61">
        <v>2.2000000000000002</v>
      </c>
      <c r="U217" s="16">
        <v>0</v>
      </c>
      <c r="V217" s="16">
        <v>1</v>
      </c>
      <c r="W217" s="16">
        <v>1</v>
      </c>
      <c r="X217" s="16">
        <v>1</v>
      </c>
      <c r="Y217" s="16">
        <v>0</v>
      </c>
      <c r="Z217" s="16">
        <v>1</v>
      </c>
      <c r="AA217" s="16">
        <v>1</v>
      </c>
      <c r="AB217" s="16">
        <v>1</v>
      </c>
      <c r="AC217" s="16">
        <v>0</v>
      </c>
      <c r="AD217" s="16">
        <v>0</v>
      </c>
      <c r="AE217" s="16">
        <v>1</v>
      </c>
      <c r="AF217" s="16">
        <v>1</v>
      </c>
      <c r="AG217" s="16">
        <v>1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1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0</v>
      </c>
      <c r="CJ217" s="16">
        <v>0</v>
      </c>
      <c r="CK217" s="16">
        <v>0</v>
      </c>
      <c r="CL217" s="16">
        <v>0</v>
      </c>
      <c r="CM217" s="16">
        <v>0</v>
      </c>
      <c r="CN217" s="16">
        <v>0</v>
      </c>
      <c r="CO217" s="16">
        <v>0</v>
      </c>
      <c r="CP217" s="16">
        <v>0</v>
      </c>
    </row>
    <row r="218" spans="1:94" ht="18.75" x14ac:dyDescent="0.25">
      <c r="A218" s="26" t="s">
        <v>381</v>
      </c>
      <c r="B218" s="26" t="s">
        <v>30</v>
      </c>
      <c r="C218" s="26" t="s">
        <v>109</v>
      </c>
      <c r="D218" s="26" t="s">
        <v>382</v>
      </c>
      <c r="E218" s="26" t="s">
        <v>70</v>
      </c>
      <c r="F218" s="40" t="s">
        <v>383</v>
      </c>
      <c r="G218" s="26" t="s">
        <v>384</v>
      </c>
      <c r="H218" s="26" t="s">
        <v>447</v>
      </c>
      <c r="I218" s="26" t="s">
        <v>963</v>
      </c>
      <c r="J218" s="26" t="s">
        <v>448</v>
      </c>
      <c r="K218" s="26" t="s">
        <v>449</v>
      </c>
      <c r="L218" s="26"/>
      <c r="M218" s="26"/>
      <c r="N218" s="77"/>
      <c r="O218" s="80"/>
      <c r="P218" s="80"/>
      <c r="Q218" s="76">
        <f t="shared" si="20"/>
        <v>0</v>
      </c>
      <c r="R218" s="76">
        <f t="shared" si="21"/>
        <v>0</v>
      </c>
      <c r="S218" s="76">
        <f t="shared" si="22"/>
        <v>0</v>
      </c>
      <c r="T218" s="61">
        <v>1.7</v>
      </c>
      <c r="U218" s="16">
        <v>0</v>
      </c>
      <c r="V218" s="16">
        <v>1</v>
      </c>
      <c r="W218" s="16">
        <v>1</v>
      </c>
      <c r="X218" s="16">
        <v>1</v>
      </c>
      <c r="Y218" s="16">
        <v>0</v>
      </c>
      <c r="Z218" s="16">
        <v>1</v>
      </c>
      <c r="AA218" s="16">
        <v>1</v>
      </c>
      <c r="AB218" s="16">
        <v>1</v>
      </c>
      <c r="AC218" s="16">
        <v>0</v>
      </c>
      <c r="AD218" s="16">
        <v>0</v>
      </c>
      <c r="AE218" s="16">
        <v>1</v>
      </c>
      <c r="AF218" s="16">
        <v>1</v>
      </c>
      <c r="AG218" s="16">
        <v>1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1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</row>
    <row r="219" spans="1:94" ht="18.75" x14ac:dyDescent="0.25">
      <c r="A219" s="26" t="s">
        <v>381</v>
      </c>
      <c r="B219" s="26" t="s">
        <v>30</v>
      </c>
      <c r="C219" s="26" t="s">
        <v>109</v>
      </c>
      <c r="D219" s="26" t="s">
        <v>382</v>
      </c>
      <c r="E219" s="26" t="s">
        <v>70</v>
      </c>
      <c r="F219" s="40" t="s">
        <v>383</v>
      </c>
      <c r="G219" s="26" t="s">
        <v>384</v>
      </c>
      <c r="H219" s="26" t="s">
        <v>450</v>
      </c>
      <c r="I219" s="26" t="s">
        <v>964</v>
      </c>
      <c r="J219" s="26" t="s">
        <v>451</v>
      </c>
      <c r="K219" s="26" t="s">
        <v>452</v>
      </c>
      <c r="L219" s="26"/>
      <c r="M219" s="26"/>
      <c r="N219" s="77"/>
      <c r="O219" s="80"/>
      <c r="P219" s="80"/>
      <c r="Q219" s="76">
        <f t="shared" ref="Q219:Q250" si="23">IF($H219=0,0,COUNTIF(I:I,I219)-1)</f>
        <v>0</v>
      </c>
      <c r="R219" s="76">
        <f t="shared" ref="R219:R250" si="24">IF($H219=0,0,COUNTIF(J:J,J219)-1)</f>
        <v>0</v>
      </c>
      <c r="S219" s="76">
        <f t="shared" ref="S219:S250" si="25">IF($H219=0,0,COUNTIF(K:K,K219)-1)</f>
        <v>0</v>
      </c>
      <c r="T219" s="61">
        <v>10</v>
      </c>
      <c r="U219" s="16">
        <v>0</v>
      </c>
      <c r="V219" s="16">
        <v>1</v>
      </c>
      <c r="W219" s="16">
        <v>1</v>
      </c>
      <c r="X219" s="16">
        <v>1</v>
      </c>
      <c r="Y219" s="16">
        <v>0</v>
      </c>
      <c r="Z219" s="16">
        <v>1</v>
      </c>
      <c r="AA219" s="16">
        <v>1</v>
      </c>
      <c r="AB219" s="16">
        <v>1</v>
      </c>
      <c r="AC219" s="16">
        <v>0</v>
      </c>
      <c r="AD219" s="16">
        <v>0</v>
      </c>
      <c r="AE219" s="16">
        <v>1</v>
      </c>
      <c r="AF219" s="16">
        <v>1</v>
      </c>
      <c r="AG219" s="16">
        <v>1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1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</row>
    <row r="220" spans="1:94" ht="18.75" x14ac:dyDescent="0.25">
      <c r="A220" s="26" t="s">
        <v>381</v>
      </c>
      <c r="B220" s="26" t="s">
        <v>30</v>
      </c>
      <c r="C220" s="26" t="s">
        <v>109</v>
      </c>
      <c r="D220" s="26" t="s">
        <v>382</v>
      </c>
      <c r="E220" s="26" t="s">
        <v>70</v>
      </c>
      <c r="F220" s="40" t="s">
        <v>383</v>
      </c>
      <c r="G220" s="26" t="s">
        <v>384</v>
      </c>
      <c r="H220" s="26" t="s">
        <v>453</v>
      </c>
      <c r="I220" s="26" t="s">
        <v>965</v>
      </c>
      <c r="J220" s="26" t="s">
        <v>454</v>
      </c>
      <c r="K220" s="26" t="s">
        <v>455</v>
      </c>
      <c r="L220" s="26"/>
      <c r="M220" s="26"/>
      <c r="N220" s="77"/>
      <c r="O220" s="80"/>
      <c r="P220" s="80"/>
      <c r="Q220" s="76">
        <f t="shared" si="23"/>
        <v>0</v>
      </c>
      <c r="R220" s="76">
        <f t="shared" si="24"/>
        <v>0</v>
      </c>
      <c r="S220" s="76">
        <f t="shared" si="25"/>
        <v>0</v>
      </c>
      <c r="T220" s="61">
        <v>18</v>
      </c>
      <c r="U220" s="16">
        <v>0</v>
      </c>
      <c r="V220" s="16">
        <v>1</v>
      </c>
      <c r="W220" s="16">
        <v>1</v>
      </c>
      <c r="X220" s="16">
        <v>1</v>
      </c>
      <c r="Y220" s="16">
        <v>0</v>
      </c>
      <c r="Z220" s="16">
        <v>1</v>
      </c>
      <c r="AA220" s="16">
        <v>1</v>
      </c>
      <c r="AB220" s="16">
        <v>1</v>
      </c>
      <c r="AC220" s="16">
        <v>0</v>
      </c>
      <c r="AD220" s="16">
        <v>0</v>
      </c>
      <c r="AE220" s="16">
        <v>1</v>
      </c>
      <c r="AF220" s="16">
        <v>1</v>
      </c>
      <c r="AG220" s="16">
        <v>1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1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0</v>
      </c>
      <c r="CM220" s="16">
        <v>0</v>
      </c>
      <c r="CN220" s="16">
        <v>0</v>
      </c>
      <c r="CO220" s="16">
        <v>0</v>
      </c>
      <c r="CP220" s="16">
        <v>0</v>
      </c>
    </row>
    <row r="221" spans="1:94" ht="18.75" x14ac:dyDescent="0.25">
      <c r="A221" s="26" t="s">
        <v>381</v>
      </c>
      <c r="B221" s="26" t="s">
        <v>30</v>
      </c>
      <c r="C221" s="26" t="s">
        <v>109</v>
      </c>
      <c r="D221" s="26" t="s">
        <v>382</v>
      </c>
      <c r="E221" s="26" t="s">
        <v>70</v>
      </c>
      <c r="F221" s="40" t="s">
        <v>383</v>
      </c>
      <c r="G221" s="26" t="s">
        <v>384</v>
      </c>
      <c r="H221" s="26" t="s">
        <v>456</v>
      </c>
      <c r="I221" s="26" t="s">
        <v>966</v>
      </c>
      <c r="J221" s="26" t="s">
        <v>457</v>
      </c>
      <c r="K221" s="26" t="s">
        <v>458</v>
      </c>
      <c r="L221" s="26"/>
      <c r="M221" s="26"/>
      <c r="N221" s="77"/>
      <c r="O221" s="80"/>
      <c r="P221" s="80"/>
      <c r="Q221" s="76">
        <f t="shared" si="23"/>
        <v>0</v>
      </c>
      <c r="R221" s="76">
        <f t="shared" si="24"/>
        <v>0</v>
      </c>
      <c r="S221" s="76">
        <f t="shared" si="25"/>
        <v>0</v>
      </c>
      <c r="T221" s="61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0</v>
      </c>
      <c r="CL221" s="16">
        <v>0</v>
      </c>
      <c r="CM221" s="16">
        <v>0</v>
      </c>
      <c r="CN221" s="16">
        <v>0</v>
      </c>
      <c r="CO221" s="16">
        <v>0</v>
      </c>
      <c r="CP221" s="16">
        <v>0</v>
      </c>
    </row>
    <row r="222" spans="1:94" ht="18.75" x14ac:dyDescent="0.25">
      <c r="A222" s="26" t="s">
        <v>381</v>
      </c>
      <c r="B222" s="26" t="s">
        <v>30</v>
      </c>
      <c r="C222" s="26" t="s">
        <v>109</v>
      </c>
      <c r="D222" s="26" t="s">
        <v>382</v>
      </c>
      <c r="E222" s="26" t="s">
        <v>70</v>
      </c>
      <c r="F222" s="40" t="s">
        <v>383</v>
      </c>
      <c r="G222" s="26" t="s">
        <v>384</v>
      </c>
      <c r="H222" s="26" t="s">
        <v>459</v>
      </c>
      <c r="I222" s="26" t="s">
        <v>967</v>
      </c>
      <c r="J222" s="26" t="s">
        <v>460</v>
      </c>
      <c r="K222" s="26" t="s">
        <v>461</v>
      </c>
      <c r="L222" s="26"/>
      <c r="M222" s="26"/>
      <c r="N222" s="77"/>
      <c r="O222" s="80"/>
      <c r="P222" s="80"/>
      <c r="Q222" s="76">
        <f t="shared" si="23"/>
        <v>0</v>
      </c>
      <c r="R222" s="76">
        <f t="shared" si="24"/>
        <v>0</v>
      </c>
      <c r="S222" s="76">
        <f t="shared" si="25"/>
        <v>0</v>
      </c>
      <c r="T222" s="61">
        <v>22.6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0</v>
      </c>
      <c r="CO222" s="16">
        <v>0</v>
      </c>
      <c r="CP222" s="16">
        <v>0</v>
      </c>
    </row>
    <row r="223" spans="1:94" ht="18.75" x14ac:dyDescent="0.25">
      <c r="A223" s="26" t="s">
        <v>381</v>
      </c>
      <c r="B223" s="26" t="s">
        <v>30</v>
      </c>
      <c r="C223" s="26" t="s">
        <v>109</v>
      </c>
      <c r="D223" s="26" t="s">
        <v>382</v>
      </c>
      <c r="E223" s="26" t="s">
        <v>70</v>
      </c>
      <c r="F223" s="40" t="s">
        <v>383</v>
      </c>
      <c r="G223" s="26" t="s">
        <v>384</v>
      </c>
      <c r="H223" s="26" t="s">
        <v>462</v>
      </c>
      <c r="I223" s="26" t="s">
        <v>968</v>
      </c>
      <c r="J223" s="26" t="s">
        <v>463</v>
      </c>
      <c r="K223" s="26" t="s">
        <v>464</v>
      </c>
      <c r="L223" s="26"/>
      <c r="M223" s="26"/>
      <c r="N223" s="77"/>
      <c r="O223" s="80"/>
      <c r="P223" s="80"/>
      <c r="Q223" s="76">
        <f t="shared" si="23"/>
        <v>0</v>
      </c>
      <c r="R223" s="76">
        <f t="shared" si="24"/>
        <v>0</v>
      </c>
      <c r="S223" s="76">
        <f t="shared" si="25"/>
        <v>0</v>
      </c>
      <c r="T223" s="61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0</v>
      </c>
      <c r="CN223" s="16">
        <v>0</v>
      </c>
      <c r="CO223" s="16">
        <v>0</v>
      </c>
      <c r="CP223" s="16">
        <v>0</v>
      </c>
    </row>
    <row r="224" spans="1:94" ht="18.75" x14ac:dyDescent="0.25">
      <c r="A224" s="26" t="s">
        <v>381</v>
      </c>
      <c r="B224" s="26" t="s">
        <v>30</v>
      </c>
      <c r="C224" s="26" t="s">
        <v>109</v>
      </c>
      <c r="D224" s="26" t="s">
        <v>382</v>
      </c>
      <c r="E224" s="26" t="s">
        <v>70</v>
      </c>
      <c r="F224" s="40" t="s">
        <v>383</v>
      </c>
      <c r="G224" s="26" t="s">
        <v>384</v>
      </c>
      <c r="H224" s="26" t="s">
        <v>198</v>
      </c>
      <c r="I224" s="26" t="s">
        <v>969</v>
      </c>
      <c r="J224" s="26" t="s">
        <v>465</v>
      </c>
      <c r="K224" s="26" t="s">
        <v>466</v>
      </c>
      <c r="L224" s="26"/>
      <c r="M224" s="26"/>
      <c r="N224" s="77"/>
      <c r="O224" s="80"/>
      <c r="P224" s="80"/>
      <c r="Q224" s="76">
        <f t="shared" si="23"/>
        <v>0</v>
      </c>
      <c r="R224" s="76">
        <f t="shared" si="24"/>
        <v>0</v>
      </c>
      <c r="S224" s="76">
        <f t="shared" si="25"/>
        <v>0</v>
      </c>
      <c r="T224" s="61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0</v>
      </c>
      <c r="CI224" s="16">
        <v>0</v>
      </c>
      <c r="CJ224" s="16">
        <v>0</v>
      </c>
      <c r="CK224" s="16">
        <v>0</v>
      </c>
      <c r="CL224" s="16">
        <v>0</v>
      </c>
      <c r="CM224" s="16">
        <v>0</v>
      </c>
      <c r="CN224" s="16">
        <v>0</v>
      </c>
      <c r="CO224" s="16">
        <v>0</v>
      </c>
      <c r="CP224" s="16">
        <v>0</v>
      </c>
    </row>
    <row r="225" spans="1:94" ht="18.75" x14ac:dyDescent="0.25">
      <c r="A225" s="26" t="s">
        <v>381</v>
      </c>
      <c r="B225" s="26" t="s">
        <v>30</v>
      </c>
      <c r="C225" s="26" t="s">
        <v>109</v>
      </c>
      <c r="D225" s="26" t="s">
        <v>382</v>
      </c>
      <c r="E225" s="26" t="s">
        <v>70</v>
      </c>
      <c r="F225" s="40" t="s">
        <v>383</v>
      </c>
      <c r="G225" s="26" t="s">
        <v>384</v>
      </c>
      <c r="H225" s="26" t="s">
        <v>356</v>
      </c>
      <c r="I225" s="26" t="s">
        <v>970</v>
      </c>
      <c r="J225" s="26" t="s">
        <v>467</v>
      </c>
      <c r="K225" s="26" t="s">
        <v>468</v>
      </c>
      <c r="L225" s="26"/>
      <c r="M225" s="26"/>
      <c r="N225" s="77"/>
      <c r="O225" s="80"/>
      <c r="P225" s="80"/>
      <c r="Q225" s="76">
        <f t="shared" si="23"/>
        <v>0</v>
      </c>
      <c r="R225" s="76">
        <f t="shared" si="24"/>
        <v>0</v>
      </c>
      <c r="S225" s="76">
        <f t="shared" si="25"/>
        <v>0</v>
      </c>
      <c r="T225" s="61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</row>
    <row r="226" spans="1:94" ht="18.75" x14ac:dyDescent="0.25">
      <c r="A226" s="26" t="s">
        <v>381</v>
      </c>
      <c r="B226" s="26" t="s">
        <v>30</v>
      </c>
      <c r="C226" s="26" t="s">
        <v>109</v>
      </c>
      <c r="D226" s="26" t="s">
        <v>382</v>
      </c>
      <c r="E226" s="26" t="s">
        <v>70</v>
      </c>
      <c r="F226" s="40" t="s">
        <v>383</v>
      </c>
      <c r="G226" s="26" t="s">
        <v>384</v>
      </c>
      <c r="H226" s="26" t="s">
        <v>381</v>
      </c>
      <c r="I226" s="26" t="s">
        <v>971</v>
      </c>
      <c r="J226" s="26" t="s">
        <v>469</v>
      </c>
      <c r="K226" s="26" t="s">
        <v>470</v>
      </c>
      <c r="L226" s="26"/>
      <c r="M226" s="26"/>
      <c r="N226" s="77"/>
      <c r="O226" s="80"/>
      <c r="P226" s="80"/>
      <c r="Q226" s="76">
        <f t="shared" si="23"/>
        <v>0</v>
      </c>
      <c r="R226" s="76">
        <f t="shared" si="24"/>
        <v>0</v>
      </c>
      <c r="S226" s="76">
        <f t="shared" si="25"/>
        <v>0</v>
      </c>
      <c r="T226" s="61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</row>
    <row r="227" spans="1:94" ht="18.75" x14ac:dyDescent="0.25">
      <c r="A227" s="26" t="s">
        <v>381</v>
      </c>
      <c r="B227" s="26" t="s">
        <v>30</v>
      </c>
      <c r="C227" s="26" t="s">
        <v>109</v>
      </c>
      <c r="D227" s="26" t="s">
        <v>382</v>
      </c>
      <c r="E227" s="26" t="s">
        <v>70</v>
      </c>
      <c r="F227" s="40" t="s">
        <v>383</v>
      </c>
      <c r="G227" s="26" t="s">
        <v>384</v>
      </c>
      <c r="H227" s="26" t="s">
        <v>471</v>
      </c>
      <c r="I227" s="26" t="s">
        <v>972</v>
      </c>
      <c r="J227" s="26" t="s">
        <v>472</v>
      </c>
      <c r="K227" s="26" t="s">
        <v>473</v>
      </c>
      <c r="L227" s="26"/>
      <c r="M227" s="26"/>
      <c r="N227" s="77"/>
      <c r="O227" s="80"/>
      <c r="P227" s="80"/>
      <c r="Q227" s="76">
        <f t="shared" si="23"/>
        <v>0</v>
      </c>
      <c r="R227" s="76">
        <f t="shared" si="24"/>
        <v>0</v>
      </c>
      <c r="S227" s="76">
        <f t="shared" si="25"/>
        <v>0</v>
      </c>
      <c r="T227" s="61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v>0</v>
      </c>
      <c r="CM227" s="16">
        <v>0</v>
      </c>
      <c r="CN227" s="16">
        <v>0</v>
      </c>
      <c r="CO227" s="16">
        <v>0</v>
      </c>
      <c r="CP227" s="16">
        <v>0</v>
      </c>
    </row>
    <row r="228" spans="1:94" ht="18.75" x14ac:dyDescent="0.25">
      <c r="A228" s="26" t="s">
        <v>381</v>
      </c>
      <c r="B228" s="26" t="s">
        <v>30</v>
      </c>
      <c r="C228" s="26" t="s">
        <v>109</v>
      </c>
      <c r="D228" s="26" t="s">
        <v>382</v>
      </c>
      <c r="E228" s="26" t="s">
        <v>70</v>
      </c>
      <c r="F228" s="40" t="s">
        <v>383</v>
      </c>
      <c r="G228" s="26" t="s">
        <v>384</v>
      </c>
      <c r="H228" s="26" t="s">
        <v>474</v>
      </c>
      <c r="I228" s="26" t="s">
        <v>973</v>
      </c>
      <c r="J228" s="26" t="s">
        <v>475</v>
      </c>
      <c r="K228" s="26" t="s">
        <v>476</v>
      </c>
      <c r="L228" s="26"/>
      <c r="M228" s="26"/>
      <c r="N228" s="77"/>
      <c r="O228" s="80"/>
      <c r="P228" s="80"/>
      <c r="Q228" s="76">
        <f t="shared" si="23"/>
        <v>0</v>
      </c>
      <c r="R228" s="76">
        <f t="shared" si="24"/>
        <v>0</v>
      </c>
      <c r="S228" s="76">
        <f t="shared" si="25"/>
        <v>0</v>
      </c>
      <c r="T228" s="61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0</v>
      </c>
      <c r="CL228" s="16">
        <v>0</v>
      </c>
      <c r="CM228" s="16">
        <v>0</v>
      </c>
      <c r="CN228" s="16">
        <v>0</v>
      </c>
      <c r="CO228" s="16">
        <v>0</v>
      </c>
      <c r="CP228" s="16">
        <v>0</v>
      </c>
    </row>
    <row r="229" spans="1:94" ht="18.75" x14ac:dyDescent="0.25">
      <c r="A229" s="26" t="s">
        <v>381</v>
      </c>
      <c r="B229" s="26" t="s">
        <v>30</v>
      </c>
      <c r="C229" s="26" t="s">
        <v>109</v>
      </c>
      <c r="D229" s="26" t="s">
        <v>382</v>
      </c>
      <c r="E229" s="26" t="s">
        <v>70</v>
      </c>
      <c r="F229" s="40" t="s">
        <v>383</v>
      </c>
      <c r="G229" s="26" t="s">
        <v>384</v>
      </c>
      <c r="H229" s="26" t="s">
        <v>477</v>
      </c>
      <c r="I229" s="26" t="s">
        <v>974</v>
      </c>
      <c r="J229" s="26" t="s">
        <v>1490</v>
      </c>
      <c r="K229" s="26" t="s">
        <v>478</v>
      </c>
      <c r="L229" s="26"/>
      <c r="M229" s="26"/>
      <c r="N229" s="77"/>
      <c r="O229" s="80"/>
      <c r="P229" s="80"/>
      <c r="Q229" s="76">
        <f t="shared" si="23"/>
        <v>0</v>
      </c>
      <c r="R229" s="76">
        <f t="shared" si="24"/>
        <v>0</v>
      </c>
      <c r="S229" s="76">
        <f t="shared" si="25"/>
        <v>0</v>
      </c>
      <c r="T229" s="61" t="s">
        <v>1230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0</v>
      </c>
      <c r="CK229" s="16">
        <v>0</v>
      </c>
      <c r="CL229" s="16">
        <v>0</v>
      </c>
      <c r="CM229" s="16">
        <v>0</v>
      </c>
      <c r="CN229" s="16">
        <v>0</v>
      </c>
      <c r="CO229" s="16">
        <v>0</v>
      </c>
      <c r="CP229" s="16">
        <v>0</v>
      </c>
    </row>
    <row r="230" spans="1:94" ht="18.75" x14ac:dyDescent="0.25">
      <c r="A230" s="26" t="s">
        <v>381</v>
      </c>
      <c r="B230" s="26" t="s">
        <v>30</v>
      </c>
      <c r="C230" s="26" t="s">
        <v>109</v>
      </c>
      <c r="D230" s="26" t="s">
        <v>382</v>
      </c>
      <c r="E230" s="26" t="s">
        <v>70</v>
      </c>
      <c r="F230" s="40" t="s">
        <v>383</v>
      </c>
      <c r="G230" s="26" t="s">
        <v>384</v>
      </c>
      <c r="H230" s="26" t="s">
        <v>479</v>
      </c>
      <c r="I230" s="26" t="s">
        <v>975</v>
      </c>
      <c r="J230" s="26" t="s">
        <v>480</v>
      </c>
      <c r="K230" s="26" t="s">
        <v>481</v>
      </c>
      <c r="L230" s="26"/>
      <c r="M230" s="26"/>
      <c r="N230" s="77"/>
      <c r="O230" s="80"/>
      <c r="P230" s="80"/>
      <c r="Q230" s="76">
        <f t="shared" si="23"/>
        <v>0</v>
      </c>
      <c r="R230" s="76">
        <f t="shared" si="24"/>
        <v>0</v>
      </c>
      <c r="S230" s="76">
        <f t="shared" si="25"/>
        <v>0</v>
      </c>
      <c r="T230" s="61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0</v>
      </c>
      <c r="CN230" s="16">
        <v>0</v>
      </c>
      <c r="CO230" s="16">
        <v>0</v>
      </c>
      <c r="CP230" s="16">
        <v>0</v>
      </c>
    </row>
    <row r="231" spans="1:94" ht="18.75" x14ac:dyDescent="0.25">
      <c r="A231" s="26" t="s">
        <v>381</v>
      </c>
      <c r="B231" s="26" t="s">
        <v>30</v>
      </c>
      <c r="C231" s="26" t="s">
        <v>109</v>
      </c>
      <c r="D231" s="26" t="s">
        <v>382</v>
      </c>
      <c r="E231" s="26" t="s">
        <v>70</v>
      </c>
      <c r="F231" s="40" t="s">
        <v>383</v>
      </c>
      <c r="G231" s="26" t="s">
        <v>384</v>
      </c>
      <c r="H231" s="26" t="s">
        <v>482</v>
      </c>
      <c r="I231" s="26" t="s">
        <v>976</v>
      </c>
      <c r="J231" s="26" t="s">
        <v>483</v>
      </c>
      <c r="K231" s="26" t="s">
        <v>484</v>
      </c>
      <c r="L231" s="26"/>
      <c r="M231" s="26"/>
      <c r="N231" s="77"/>
      <c r="O231" s="80"/>
      <c r="P231" s="80"/>
      <c r="Q231" s="76">
        <f t="shared" si="23"/>
        <v>0</v>
      </c>
      <c r="R231" s="76">
        <f t="shared" si="24"/>
        <v>0</v>
      </c>
      <c r="S231" s="76">
        <f t="shared" si="25"/>
        <v>0</v>
      </c>
      <c r="T231" s="61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0</v>
      </c>
      <c r="CN231" s="16">
        <v>0</v>
      </c>
      <c r="CO231" s="16">
        <v>0</v>
      </c>
      <c r="CP231" s="16">
        <v>0</v>
      </c>
    </row>
    <row r="232" spans="1:94" ht="18.75" x14ac:dyDescent="0.25">
      <c r="A232" s="26" t="s">
        <v>381</v>
      </c>
      <c r="B232" s="26" t="s">
        <v>30</v>
      </c>
      <c r="C232" s="26" t="s">
        <v>109</v>
      </c>
      <c r="D232" s="26" t="s">
        <v>382</v>
      </c>
      <c r="E232" s="26" t="s">
        <v>70</v>
      </c>
      <c r="F232" s="40" t="s">
        <v>383</v>
      </c>
      <c r="G232" s="26" t="s">
        <v>384</v>
      </c>
      <c r="H232" s="26" t="s">
        <v>485</v>
      </c>
      <c r="I232" s="26" t="s">
        <v>977</v>
      </c>
      <c r="J232" s="26" t="s">
        <v>486</v>
      </c>
      <c r="K232" s="26" t="s">
        <v>487</v>
      </c>
      <c r="L232" s="26"/>
      <c r="M232" s="26"/>
      <c r="N232" s="77"/>
      <c r="O232" s="80"/>
      <c r="P232" s="80"/>
      <c r="Q232" s="76">
        <f t="shared" si="23"/>
        <v>0</v>
      </c>
      <c r="R232" s="76">
        <f t="shared" si="24"/>
        <v>0</v>
      </c>
      <c r="S232" s="76">
        <f t="shared" si="25"/>
        <v>0</v>
      </c>
      <c r="T232" s="61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</row>
    <row r="233" spans="1:94" ht="18.75" x14ac:dyDescent="0.25">
      <c r="A233" s="26" t="s">
        <v>381</v>
      </c>
      <c r="B233" s="26" t="s">
        <v>30</v>
      </c>
      <c r="C233" s="26" t="s">
        <v>109</v>
      </c>
      <c r="D233" s="26" t="s">
        <v>382</v>
      </c>
      <c r="E233" s="26" t="s">
        <v>70</v>
      </c>
      <c r="F233" s="40" t="s">
        <v>383</v>
      </c>
      <c r="G233" s="26" t="s">
        <v>384</v>
      </c>
      <c r="H233" s="26" t="s">
        <v>488</v>
      </c>
      <c r="I233" s="26" t="s">
        <v>978</v>
      </c>
      <c r="J233" s="26" t="s">
        <v>489</v>
      </c>
      <c r="K233" s="26" t="s">
        <v>490</v>
      </c>
      <c r="L233" s="26"/>
      <c r="M233" s="26"/>
      <c r="N233" s="77"/>
      <c r="O233" s="80"/>
      <c r="P233" s="80"/>
      <c r="Q233" s="76">
        <f t="shared" si="23"/>
        <v>0</v>
      </c>
      <c r="R233" s="76">
        <f t="shared" si="24"/>
        <v>0</v>
      </c>
      <c r="S233" s="76">
        <f t="shared" si="25"/>
        <v>0</v>
      </c>
      <c r="T233" s="61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</row>
    <row r="234" spans="1:94" ht="18.75" x14ac:dyDescent="0.25">
      <c r="A234" s="26" t="s">
        <v>381</v>
      </c>
      <c r="B234" s="26" t="s">
        <v>30</v>
      </c>
      <c r="C234" s="26" t="s">
        <v>109</v>
      </c>
      <c r="D234" s="26" t="s">
        <v>382</v>
      </c>
      <c r="E234" s="26" t="s">
        <v>70</v>
      </c>
      <c r="F234" s="40" t="s">
        <v>383</v>
      </c>
      <c r="G234" s="26" t="s">
        <v>384</v>
      </c>
      <c r="H234" s="26" t="s">
        <v>491</v>
      </c>
      <c r="I234" s="26" t="s">
        <v>979</v>
      </c>
      <c r="J234" s="26" t="s">
        <v>492</v>
      </c>
      <c r="K234" s="26" t="s">
        <v>493</v>
      </c>
      <c r="L234" s="26"/>
      <c r="M234" s="26"/>
      <c r="N234" s="77"/>
      <c r="O234" s="80"/>
      <c r="P234" s="80"/>
      <c r="Q234" s="76">
        <f t="shared" si="23"/>
        <v>0</v>
      </c>
      <c r="R234" s="76">
        <f t="shared" si="24"/>
        <v>0</v>
      </c>
      <c r="S234" s="76">
        <f t="shared" si="25"/>
        <v>0</v>
      </c>
      <c r="T234" s="61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0</v>
      </c>
      <c r="CN234" s="16">
        <v>0</v>
      </c>
      <c r="CO234" s="16">
        <v>0</v>
      </c>
      <c r="CP234" s="16">
        <v>0</v>
      </c>
    </row>
    <row r="235" spans="1:94" ht="18.75" x14ac:dyDescent="0.25">
      <c r="A235" s="26" t="s">
        <v>381</v>
      </c>
      <c r="B235" s="26" t="s">
        <v>30</v>
      </c>
      <c r="C235" s="26" t="s">
        <v>109</v>
      </c>
      <c r="D235" s="26" t="s">
        <v>382</v>
      </c>
      <c r="E235" s="26" t="s">
        <v>70</v>
      </c>
      <c r="F235" s="40" t="s">
        <v>383</v>
      </c>
      <c r="G235" s="26" t="s">
        <v>384</v>
      </c>
      <c r="H235" s="26" t="s">
        <v>68</v>
      </c>
      <c r="I235" s="26" t="s">
        <v>980</v>
      </c>
      <c r="J235" s="26" t="s">
        <v>494</v>
      </c>
      <c r="K235" s="26" t="s">
        <v>495</v>
      </c>
      <c r="L235" s="26"/>
      <c r="M235" s="26"/>
      <c r="N235" s="77"/>
      <c r="O235" s="80"/>
      <c r="P235" s="80"/>
      <c r="Q235" s="76">
        <f t="shared" si="23"/>
        <v>0</v>
      </c>
      <c r="R235" s="76">
        <f t="shared" si="24"/>
        <v>0</v>
      </c>
      <c r="S235" s="76">
        <f t="shared" si="25"/>
        <v>0</v>
      </c>
      <c r="T235" s="61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</row>
    <row r="236" spans="1:94" ht="18.75" x14ac:dyDescent="0.25">
      <c r="A236" s="26" t="s">
        <v>381</v>
      </c>
      <c r="B236" s="26" t="s">
        <v>30</v>
      </c>
      <c r="C236" s="26" t="s">
        <v>109</v>
      </c>
      <c r="D236" s="26" t="s">
        <v>382</v>
      </c>
      <c r="E236" s="26" t="s">
        <v>70</v>
      </c>
      <c r="F236" s="40" t="s">
        <v>383</v>
      </c>
      <c r="G236" s="26" t="s">
        <v>384</v>
      </c>
      <c r="H236" s="26" t="s">
        <v>496</v>
      </c>
      <c r="I236" s="26" t="s">
        <v>981</v>
      </c>
      <c r="J236" s="26" t="s">
        <v>497</v>
      </c>
      <c r="K236" s="26" t="s">
        <v>498</v>
      </c>
      <c r="L236" s="26"/>
      <c r="M236" s="26"/>
      <c r="N236" s="77"/>
      <c r="O236" s="80"/>
      <c r="P236" s="80"/>
      <c r="Q236" s="76">
        <f t="shared" si="23"/>
        <v>0</v>
      </c>
      <c r="R236" s="76">
        <f t="shared" si="24"/>
        <v>0</v>
      </c>
      <c r="S236" s="76">
        <f t="shared" si="25"/>
        <v>0</v>
      </c>
      <c r="T236" s="61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0</v>
      </c>
      <c r="BE236" s="16">
        <v>0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0</v>
      </c>
      <c r="CI236" s="16">
        <v>0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</row>
    <row r="237" spans="1:94" ht="18.75" x14ac:dyDescent="0.25">
      <c r="A237" s="26" t="s">
        <v>381</v>
      </c>
      <c r="B237" s="26" t="s">
        <v>30</v>
      </c>
      <c r="C237" s="26" t="s">
        <v>109</v>
      </c>
      <c r="D237" s="26" t="s">
        <v>382</v>
      </c>
      <c r="E237" s="26" t="s">
        <v>70</v>
      </c>
      <c r="F237" s="40" t="s">
        <v>383</v>
      </c>
      <c r="G237" s="21" t="s">
        <v>384</v>
      </c>
      <c r="H237" s="21" t="s">
        <v>499</v>
      </c>
      <c r="I237" s="21" t="s">
        <v>982</v>
      </c>
      <c r="J237" s="21" t="s">
        <v>500</v>
      </c>
      <c r="K237" s="21" t="s">
        <v>501</v>
      </c>
      <c r="L237" s="21"/>
      <c r="M237" s="21"/>
      <c r="N237" s="77"/>
      <c r="O237" s="80"/>
      <c r="P237" s="80"/>
      <c r="Q237" s="76">
        <f t="shared" si="23"/>
        <v>0</v>
      </c>
      <c r="R237" s="76">
        <f t="shared" si="24"/>
        <v>0</v>
      </c>
      <c r="S237" s="76">
        <f t="shared" si="25"/>
        <v>0</v>
      </c>
      <c r="T237" s="30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0</v>
      </c>
      <c r="CO237" s="16">
        <v>0</v>
      </c>
      <c r="CP237" s="16">
        <v>0</v>
      </c>
    </row>
    <row r="238" spans="1:94" ht="18.75" x14ac:dyDescent="0.25">
      <c r="A238" s="26" t="s">
        <v>381</v>
      </c>
      <c r="B238" s="26" t="s">
        <v>30</v>
      </c>
      <c r="C238" s="26" t="s">
        <v>109</v>
      </c>
      <c r="D238" s="26" t="s">
        <v>382</v>
      </c>
      <c r="E238" s="26" t="s">
        <v>70</v>
      </c>
      <c r="F238" s="40" t="s">
        <v>383</v>
      </c>
      <c r="G238" s="21" t="s">
        <v>384</v>
      </c>
      <c r="H238" s="21" t="s">
        <v>502</v>
      </c>
      <c r="I238" s="21" t="s">
        <v>983</v>
      </c>
      <c r="J238" s="21" t="s">
        <v>503</v>
      </c>
      <c r="K238" s="21" t="s">
        <v>504</v>
      </c>
      <c r="L238" s="21"/>
      <c r="M238" s="21"/>
      <c r="N238" s="77"/>
      <c r="O238" s="80"/>
      <c r="P238" s="80"/>
      <c r="Q238" s="76">
        <f t="shared" si="23"/>
        <v>0</v>
      </c>
      <c r="R238" s="76">
        <f t="shared" si="24"/>
        <v>0</v>
      </c>
      <c r="S238" s="76">
        <f t="shared" si="25"/>
        <v>0</v>
      </c>
      <c r="T238" s="30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0</v>
      </c>
      <c r="CO238" s="16">
        <v>0</v>
      </c>
      <c r="CP238" s="16">
        <v>0</v>
      </c>
    </row>
    <row r="239" spans="1:94" ht="18.75" x14ac:dyDescent="0.25">
      <c r="A239" s="26" t="s">
        <v>381</v>
      </c>
      <c r="B239" s="26" t="s">
        <v>30</v>
      </c>
      <c r="C239" s="26" t="s">
        <v>109</v>
      </c>
      <c r="D239" s="26" t="s">
        <v>382</v>
      </c>
      <c r="E239" s="26" t="s">
        <v>70</v>
      </c>
      <c r="F239" s="40" t="s">
        <v>383</v>
      </c>
      <c r="G239" s="21" t="s">
        <v>384</v>
      </c>
      <c r="H239" s="21" t="s">
        <v>506</v>
      </c>
      <c r="I239" s="21" t="s">
        <v>984</v>
      </c>
      <c r="J239" s="21" t="s">
        <v>507</v>
      </c>
      <c r="K239" s="21" t="s">
        <v>508</v>
      </c>
      <c r="L239" s="21"/>
      <c r="M239" s="21"/>
      <c r="N239" s="77"/>
      <c r="O239" s="80"/>
      <c r="P239" s="80"/>
      <c r="Q239" s="76">
        <f t="shared" si="23"/>
        <v>0</v>
      </c>
      <c r="R239" s="76">
        <f t="shared" si="24"/>
        <v>0</v>
      </c>
      <c r="S239" s="76">
        <f t="shared" si="25"/>
        <v>0</v>
      </c>
      <c r="T239" s="30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0</v>
      </c>
      <c r="CP239" s="16">
        <v>0</v>
      </c>
    </row>
    <row r="240" spans="1:94" ht="18.75" x14ac:dyDescent="0.25">
      <c r="A240" s="21" t="s">
        <v>429</v>
      </c>
      <c r="B240" s="21" t="s">
        <v>21</v>
      </c>
      <c r="C240" s="21" t="s">
        <v>62</v>
      </c>
      <c r="D240" s="21" t="s">
        <v>509</v>
      </c>
      <c r="E240" s="21" t="s">
        <v>70</v>
      </c>
      <c r="F240" s="34" t="s">
        <v>510</v>
      </c>
      <c r="G240" s="21" t="s">
        <v>511</v>
      </c>
      <c r="H240" s="21" t="s">
        <v>51</v>
      </c>
      <c r="I240" s="21" t="s">
        <v>985</v>
      </c>
      <c r="J240" s="21" t="s">
        <v>1330</v>
      </c>
      <c r="K240" s="21" t="s">
        <v>1331</v>
      </c>
      <c r="L240" s="77"/>
      <c r="M240" s="21"/>
      <c r="N240" s="77"/>
      <c r="O240" s="80"/>
      <c r="P240" s="80"/>
      <c r="Q240" s="76">
        <f t="shared" si="23"/>
        <v>0</v>
      </c>
      <c r="R240" s="76">
        <f t="shared" si="24"/>
        <v>0</v>
      </c>
      <c r="S240" s="76">
        <f t="shared" si="25"/>
        <v>0</v>
      </c>
      <c r="T240" s="30">
        <v>0</v>
      </c>
    </row>
    <row r="241" spans="1:20" ht="18.75" x14ac:dyDescent="0.25">
      <c r="A241" s="21" t="s">
        <v>429</v>
      </c>
      <c r="B241" s="21" t="s">
        <v>21</v>
      </c>
      <c r="C241" s="21" t="s">
        <v>62</v>
      </c>
      <c r="D241" s="21" t="s">
        <v>509</v>
      </c>
      <c r="E241" s="21" t="s">
        <v>70</v>
      </c>
      <c r="F241" s="34" t="s">
        <v>510</v>
      </c>
      <c r="G241" s="21" t="s">
        <v>511</v>
      </c>
      <c r="H241" s="21" t="s">
        <v>53</v>
      </c>
      <c r="I241" s="21" t="s">
        <v>986</v>
      </c>
      <c r="J241" s="21" t="s">
        <v>1333</v>
      </c>
      <c r="K241" s="21" t="s">
        <v>1334</v>
      </c>
      <c r="L241" s="21"/>
      <c r="M241" s="21"/>
      <c r="N241" s="77"/>
      <c r="O241" s="80"/>
      <c r="P241" s="80"/>
      <c r="Q241" s="76">
        <f t="shared" si="23"/>
        <v>0</v>
      </c>
      <c r="R241" s="76">
        <f t="shared" si="24"/>
        <v>0</v>
      </c>
      <c r="S241" s="76">
        <f t="shared" si="25"/>
        <v>0</v>
      </c>
      <c r="T241" s="30">
        <v>0</v>
      </c>
    </row>
    <row r="242" spans="1:20" ht="30" x14ac:dyDescent="0.25">
      <c r="A242" s="21" t="s">
        <v>429</v>
      </c>
      <c r="B242" s="21" t="s">
        <v>21</v>
      </c>
      <c r="C242" s="21" t="s">
        <v>62</v>
      </c>
      <c r="D242" s="21" t="s">
        <v>509</v>
      </c>
      <c r="E242" s="21" t="s">
        <v>70</v>
      </c>
      <c r="F242" s="34" t="s">
        <v>510</v>
      </c>
      <c r="G242" s="21" t="s">
        <v>511</v>
      </c>
      <c r="H242" s="21" t="s">
        <v>56</v>
      </c>
      <c r="I242" s="21" t="s">
        <v>987</v>
      </c>
      <c r="J242" s="21" t="s">
        <v>988</v>
      </c>
      <c r="K242" s="21" t="s">
        <v>1350</v>
      </c>
      <c r="L242" s="21"/>
      <c r="M242" s="21"/>
      <c r="N242" s="77"/>
      <c r="O242" s="80"/>
      <c r="P242" s="80"/>
      <c r="Q242" s="76">
        <f t="shared" si="23"/>
        <v>0</v>
      </c>
      <c r="R242" s="76">
        <f t="shared" si="24"/>
        <v>0</v>
      </c>
      <c r="S242" s="76">
        <f t="shared" si="25"/>
        <v>0</v>
      </c>
      <c r="T242" s="30" t="s">
        <v>1230</v>
      </c>
    </row>
    <row r="243" spans="1:20" ht="30" x14ac:dyDescent="0.25">
      <c r="A243" s="21" t="s">
        <v>429</v>
      </c>
      <c r="B243" s="21" t="s">
        <v>21</v>
      </c>
      <c r="C243" s="21" t="s">
        <v>62</v>
      </c>
      <c r="D243" s="21" t="s">
        <v>509</v>
      </c>
      <c r="E243" s="21" t="s">
        <v>70</v>
      </c>
      <c r="F243" s="34" t="s">
        <v>510</v>
      </c>
      <c r="G243" s="21" t="s">
        <v>511</v>
      </c>
      <c r="H243" s="21" t="s">
        <v>59</v>
      </c>
      <c r="I243" s="21" t="s">
        <v>989</v>
      </c>
      <c r="J243" s="21" t="s">
        <v>990</v>
      </c>
      <c r="K243" s="21" t="s">
        <v>1351</v>
      </c>
      <c r="L243" s="21"/>
      <c r="M243" s="21"/>
      <c r="N243" s="77"/>
      <c r="O243" s="80"/>
      <c r="P243" s="80"/>
      <c r="Q243" s="76">
        <f t="shared" si="23"/>
        <v>0</v>
      </c>
      <c r="R243" s="76">
        <f t="shared" si="24"/>
        <v>0</v>
      </c>
      <c r="S243" s="76">
        <f t="shared" si="25"/>
        <v>0</v>
      </c>
      <c r="T243" s="30" t="s">
        <v>1230</v>
      </c>
    </row>
    <row r="244" spans="1:20" ht="18.75" x14ac:dyDescent="0.25">
      <c r="A244" s="21" t="s">
        <v>429</v>
      </c>
      <c r="B244" s="21" t="s">
        <v>21</v>
      </c>
      <c r="C244" s="21" t="s">
        <v>62</v>
      </c>
      <c r="D244" s="21" t="s">
        <v>509</v>
      </c>
      <c r="E244" s="21" t="s">
        <v>70</v>
      </c>
      <c r="F244" s="34" t="s">
        <v>510</v>
      </c>
      <c r="G244" s="21" t="s">
        <v>511</v>
      </c>
      <c r="H244" s="21" t="s">
        <v>62</v>
      </c>
      <c r="I244" s="21" t="s">
        <v>991</v>
      </c>
      <c r="J244" s="21" t="s">
        <v>1294</v>
      </c>
      <c r="K244" s="21" t="s">
        <v>1295</v>
      </c>
      <c r="L244" s="21"/>
      <c r="M244" s="21"/>
      <c r="N244" s="77"/>
      <c r="O244" s="80"/>
      <c r="P244" s="80"/>
      <c r="Q244" s="76">
        <f t="shared" si="23"/>
        <v>0</v>
      </c>
      <c r="R244" s="76">
        <f t="shared" si="24"/>
        <v>0</v>
      </c>
      <c r="S244" s="76">
        <f t="shared" si="25"/>
        <v>0</v>
      </c>
      <c r="T244" s="30" t="s">
        <v>1230</v>
      </c>
    </row>
    <row r="245" spans="1:20" ht="18.75" x14ac:dyDescent="0.25">
      <c r="A245" s="21" t="s">
        <v>429</v>
      </c>
      <c r="B245" s="21" t="s">
        <v>21</v>
      </c>
      <c r="C245" s="21" t="s">
        <v>62</v>
      </c>
      <c r="D245" s="21" t="s">
        <v>509</v>
      </c>
      <c r="E245" s="21" t="s">
        <v>70</v>
      </c>
      <c r="F245" s="34" t="s">
        <v>510</v>
      </c>
      <c r="G245" s="21" t="s">
        <v>511</v>
      </c>
      <c r="H245" s="21" t="s">
        <v>65</v>
      </c>
      <c r="I245" s="21" t="s">
        <v>992</v>
      </c>
      <c r="J245" s="21" t="s">
        <v>1301</v>
      </c>
      <c r="K245" s="21" t="s">
        <v>1302</v>
      </c>
      <c r="L245" s="21"/>
      <c r="M245" s="21"/>
      <c r="N245" s="77"/>
      <c r="O245" s="80"/>
      <c r="P245" s="80"/>
      <c r="Q245" s="76">
        <f t="shared" si="23"/>
        <v>0</v>
      </c>
      <c r="R245" s="76">
        <f t="shared" si="24"/>
        <v>0</v>
      </c>
      <c r="S245" s="76">
        <f t="shared" si="25"/>
        <v>0</v>
      </c>
      <c r="T245" s="30" t="s">
        <v>1230</v>
      </c>
    </row>
    <row r="246" spans="1:20" ht="18.75" x14ac:dyDescent="0.25">
      <c r="A246" s="21" t="s">
        <v>429</v>
      </c>
      <c r="B246" s="21" t="s">
        <v>21</v>
      </c>
      <c r="C246" s="21" t="s">
        <v>62</v>
      </c>
      <c r="D246" s="21" t="s">
        <v>509</v>
      </c>
      <c r="E246" s="21" t="s">
        <v>70</v>
      </c>
      <c r="F246" s="34" t="s">
        <v>510</v>
      </c>
      <c r="G246" s="21" t="s">
        <v>511</v>
      </c>
      <c r="H246" s="21" t="s">
        <v>100</v>
      </c>
      <c r="I246" s="21" t="s">
        <v>993</v>
      </c>
      <c r="J246" s="21" t="s">
        <v>994</v>
      </c>
      <c r="K246" s="21" t="s">
        <v>1320</v>
      </c>
      <c r="L246" s="21"/>
      <c r="M246" s="21"/>
      <c r="N246" s="77"/>
      <c r="O246" s="80"/>
      <c r="P246" s="80"/>
      <c r="Q246" s="76">
        <f t="shared" si="23"/>
        <v>0</v>
      </c>
      <c r="R246" s="76">
        <f t="shared" si="24"/>
        <v>0</v>
      </c>
      <c r="S246" s="76">
        <f t="shared" si="25"/>
        <v>0</v>
      </c>
      <c r="T246" s="30" t="s">
        <v>1230</v>
      </c>
    </row>
    <row r="247" spans="1:20" ht="18.75" x14ac:dyDescent="0.25">
      <c r="A247" s="21" t="s">
        <v>429</v>
      </c>
      <c r="B247" s="21" t="s">
        <v>21</v>
      </c>
      <c r="C247" s="21" t="s">
        <v>62</v>
      </c>
      <c r="D247" s="21" t="s">
        <v>509</v>
      </c>
      <c r="E247" s="21" t="s">
        <v>70</v>
      </c>
      <c r="F247" s="34" t="s">
        <v>510</v>
      </c>
      <c r="G247" s="21" t="s">
        <v>511</v>
      </c>
      <c r="H247" s="21" t="s">
        <v>103</v>
      </c>
      <c r="I247" s="21" t="s">
        <v>995</v>
      </c>
      <c r="J247" s="21" t="s">
        <v>513</v>
      </c>
      <c r="K247" s="21" t="s">
        <v>514</v>
      </c>
      <c r="L247" s="21"/>
      <c r="M247" s="21"/>
      <c r="N247" s="77"/>
      <c r="O247" s="80"/>
      <c r="P247" s="80"/>
      <c r="Q247" s="76">
        <f t="shared" si="23"/>
        <v>0</v>
      </c>
      <c r="R247" s="76">
        <f t="shared" si="24"/>
        <v>0</v>
      </c>
      <c r="S247" s="76">
        <f t="shared" si="25"/>
        <v>0</v>
      </c>
      <c r="T247" s="30">
        <v>0</v>
      </c>
    </row>
    <row r="248" spans="1:20" ht="18.75" x14ac:dyDescent="0.25">
      <c r="A248" s="21" t="s">
        <v>429</v>
      </c>
      <c r="B248" s="21" t="s">
        <v>21</v>
      </c>
      <c r="C248" s="21" t="s">
        <v>62</v>
      </c>
      <c r="D248" s="21" t="s">
        <v>509</v>
      </c>
      <c r="E248" s="21" t="s">
        <v>70</v>
      </c>
      <c r="F248" s="34" t="s">
        <v>510</v>
      </c>
      <c r="G248" s="21" t="s">
        <v>511</v>
      </c>
      <c r="H248" s="21" t="s">
        <v>106</v>
      </c>
      <c r="I248" s="21" t="s">
        <v>996</v>
      </c>
      <c r="J248" s="21" t="s">
        <v>515</v>
      </c>
      <c r="K248" s="21" t="s">
        <v>516</v>
      </c>
      <c r="L248" s="21"/>
      <c r="M248" s="21"/>
      <c r="N248" s="77"/>
      <c r="O248" s="80"/>
      <c r="P248" s="80"/>
      <c r="Q248" s="76">
        <f t="shared" si="23"/>
        <v>0</v>
      </c>
      <c r="R248" s="76">
        <f t="shared" si="24"/>
        <v>0</v>
      </c>
      <c r="S248" s="76">
        <f t="shared" si="25"/>
        <v>0</v>
      </c>
      <c r="T248" s="30">
        <v>0</v>
      </c>
    </row>
    <row r="249" spans="1:20" ht="18.75" x14ac:dyDescent="0.25">
      <c r="A249" s="21" t="s">
        <v>429</v>
      </c>
      <c r="B249" s="21" t="s">
        <v>21</v>
      </c>
      <c r="C249" s="21" t="s">
        <v>62</v>
      </c>
      <c r="D249" s="21" t="s">
        <v>509</v>
      </c>
      <c r="E249" s="21" t="s">
        <v>70</v>
      </c>
      <c r="F249" s="34" t="s">
        <v>510</v>
      </c>
      <c r="G249" s="21" t="s">
        <v>511</v>
      </c>
      <c r="H249" s="21" t="s">
        <v>109</v>
      </c>
      <c r="I249" s="21" t="s">
        <v>997</v>
      </c>
      <c r="J249" s="21" t="s">
        <v>517</v>
      </c>
      <c r="K249" s="21" t="s">
        <v>518</v>
      </c>
      <c r="L249" s="21"/>
      <c r="M249" s="21"/>
      <c r="N249" s="77"/>
      <c r="O249" s="80"/>
      <c r="P249" s="80"/>
      <c r="Q249" s="76">
        <f t="shared" si="23"/>
        <v>0</v>
      </c>
      <c r="R249" s="76">
        <f t="shared" si="24"/>
        <v>0</v>
      </c>
      <c r="S249" s="76">
        <f t="shared" si="25"/>
        <v>0</v>
      </c>
      <c r="T249" s="30">
        <v>0</v>
      </c>
    </row>
    <row r="250" spans="1:20" ht="18.75" x14ac:dyDescent="0.25">
      <c r="A250" s="21"/>
      <c r="B250" s="21"/>
      <c r="C250" s="21"/>
      <c r="D250" s="21"/>
      <c r="E250" s="21"/>
      <c r="F250" s="34"/>
      <c r="G250" s="21"/>
      <c r="H250" s="21"/>
      <c r="I250" s="21"/>
      <c r="J250" s="21"/>
      <c r="K250" s="21"/>
      <c r="L250" s="21"/>
      <c r="M250" s="21"/>
      <c r="N250" s="77"/>
      <c r="O250" s="80"/>
      <c r="P250" s="80"/>
      <c r="Q250" s="76">
        <f t="shared" si="23"/>
        <v>0</v>
      </c>
      <c r="R250" s="76">
        <f t="shared" si="24"/>
        <v>0</v>
      </c>
      <c r="S250" s="76">
        <f t="shared" si="25"/>
        <v>0</v>
      </c>
      <c r="T250" s="30"/>
    </row>
    <row r="251" spans="1:20" ht="18.75" x14ac:dyDescent="0.25">
      <c r="A251" s="21" t="s">
        <v>429</v>
      </c>
      <c r="B251" s="21" t="s">
        <v>21</v>
      </c>
      <c r="C251" s="21" t="s">
        <v>62</v>
      </c>
      <c r="D251" s="21" t="s">
        <v>509</v>
      </c>
      <c r="E251" s="21" t="s">
        <v>70</v>
      </c>
      <c r="F251" s="34" t="s">
        <v>510</v>
      </c>
      <c r="G251" s="21" t="s">
        <v>511</v>
      </c>
      <c r="H251" s="21" t="s">
        <v>139</v>
      </c>
      <c r="I251" s="21" t="s">
        <v>998</v>
      </c>
      <c r="J251" s="21" t="s">
        <v>519</v>
      </c>
      <c r="K251" s="21" t="s">
        <v>520</v>
      </c>
      <c r="L251" s="21"/>
      <c r="M251" s="21"/>
      <c r="N251" s="77"/>
      <c r="O251" s="80"/>
      <c r="P251" s="80"/>
      <c r="Q251" s="76">
        <f t="shared" ref="Q251:Q282" si="26">IF($H251=0,0,COUNTIF(I:I,I251)-1)</f>
        <v>0</v>
      </c>
      <c r="R251" s="76">
        <f t="shared" ref="R251:R282" si="27">IF($H251=0,0,COUNTIF(J:J,J251)-1)</f>
        <v>1</v>
      </c>
      <c r="S251" s="76">
        <f t="shared" ref="S251:S282" si="28">IF($H251=0,0,COUNTIF(K:K,K251)-1)</f>
        <v>0</v>
      </c>
      <c r="T251" s="30">
        <v>0</v>
      </c>
    </row>
    <row r="252" spans="1:20" ht="18.75" x14ac:dyDescent="0.25">
      <c r="A252" s="21"/>
      <c r="B252" s="21"/>
      <c r="C252" s="21"/>
      <c r="D252" s="21"/>
      <c r="E252" s="21"/>
      <c r="F252" s="34"/>
      <c r="G252" s="21"/>
      <c r="H252" s="21"/>
      <c r="I252" s="21"/>
      <c r="J252" s="21"/>
      <c r="K252" s="21"/>
      <c r="L252" s="21"/>
      <c r="M252" s="21"/>
      <c r="N252" s="77"/>
      <c r="O252" s="80"/>
      <c r="P252" s="80"/>
      <c r="Q252" s="76">
        <f t="shared" si="26"/>
        <v>0</v>
      </c>
      <c r="R252" s="76">
        <f t="shared" si="27"/>
        <v>0</v>
      </c>
      <c r="S252" s="76">
        <f t="shared" si="28"/>
        <v>0</v>
      </c>
      <c r="T252" s="30"/>
    </row>
    <row r="253" spans="1:20" ht="18.75" x14ac:dyDescent="0.25">
      <c r="A253" s="21"/>
      <c r="B253" s="21"/>
      <c r="C253" s="21"/>
      <c r="D253" s="21"/>
      <c r="E253" s="21"/>
      <c r="F253" s="34"/>
      <c r="G253" s="21"/>
      <c r="H253" s="21"/>
      <c r="I253" s="21"/>
      <c r="J253" s="21"/>
      <c r="K253" s="21"/>
      <c r="L253" s="21"/>
      <c r="M253" s="21"/>
      <c r="N253" s="77"/>
      <c r="O253" s="80"/>
      <c r="P253" s="80"/>
      <c r="Q253" s="76">
        <f t="shared" si="26"/>
        <v>0</v>
      </c>
      <c r="R253" s="76">
        <f t="shared" si="27"/>
        <v>0</v>
      </c>
      <c r="S253" s="76">
        <f t="shared" si="28"/>
        <v>0</v>
      </c>
      <c r="T253" s="30"/>
    </row>
    <row r="254" spans="1:20" ht="18.75" x14ac:dyDescent="0.25">
      <c r="A254" s="21" t="s">
        <v>429</v>
      </c>
      <c r="B254" s="21" t="s">
        <v>21</v>
      </c>
      <c r="C254" s="21" t="s">
        <v>62</v>
      </c>
      <c r="D254" s="21" t="s">
        <v>509</v>
      </c>
      <c r="E254" s="21" t="s">
        <v>70</v>
      </c>
      <c r="F254" s="34" t="s">
        <v>510</v>
      </c>
      <c r="G254" s="21" t="s">
        <v>511</v>
      </c>
      <c r="H254" s="21" t="s">
        <v>145</v>
      </c>
      <c r="I254" s="21" t="s">
        <v>999</v>
      </c>
      <c r="J254" s="21" t="s">
        <v>1000</v>
      </c>
      <c r="K254" s="21" t="s">
        <v>1323</v>
      </c>
      <c r="L254" s="21"/>
      <c r="M254" s="21"/>
      <c r="N254" s="77"/>
      <c r="O254" s="80"/>
      <c r="P254" s="80"/>
      <c r="Q254" s="76">
        <f t="shared" si="26"/>
        <v>0</v>
      </c>
      <c r="R254" s="76">
        <f t="shared" si="27"/>
        <v>0</v>
      </c>
      <c r="S254" s="76">
        <f t="shared" si="28"/>
        <v>0</v>
      </c>
      <c r="T254" s="30" t="s">
        <v>1230</v>
      </c>
    </row>
    <row r="255" spans="1:20" ht="18.75" x14ac:dyDescent="0.25">
      <c r="A255" s="21" t="s">
        <v>429</v>
      </c>
      <c r="B255" s="21" t="s">
        <v>21</v>
      </c>
      <c r="C255" s="21" t="s">
        <v>62</v>
      </c>
      <c r="D255" s="21" t="s">
        <v>509</v>
      </c>
      <c r="E255" s="21" t="s">
        <v>70</v>
      </c>
      <c r="F255" s="34" t="s">
        <v>510</v>
      </c>
      <c r="G255" s="21" t="s">
        <v>511</v>
      </c>
      <c r="H255" s="21" t="s">
        <v>147</v>
      </c>
      <c r="I255" s="21" t="s">
        <v>1001</v>
      </c>
      <c r="J255" s="21" t="s">
        <v>1002</v>
      </c>
      <c r="K255" s="21" t="s">
        <v>1324</v>
      </c>
      <c r="L255" s="21"/>
      <c r="M255" s="21"/>
      <c r="N255" s="77"/>
      <c r="O255" s="80"/>
      <c r="P255" s="80"/>
      <c r="Q255" s="76">
        <f t="shared" si="26"/>
        <v>0</v>
      </c>
      <c r="R255" s="76">
        <f t="shared" si="27"/>
        <v>0</v>
      </c>
      <c r="S255" s="76">
        <f t="shared" si="28"/>
        <v>0</v>
      </c>
      <c r="T255" s="30" t="s">
        <v>1230</v>
      </c>
    </row>
    <row r="256" spans="1:20" ht="18.75" x14ac:dyDescent="0.25">
      <c r="A256" s="21"/>
      <c r="B256" s="21"/>
      <c r="C256" s="21"/>
      <c r="D256" s="21"/>
      <c r="E256" s="21"/>
      <c r="F256" s="34"/>
      <c r="G256" s="21"/>
      <c r="H256" s="21"/>
      <c r="I256" s="21"/>
      <c r="J256" s="21"/>
      <c r="K256" s="21"/>
      <c r="L256" s="21"/>
      <c r="M256" s="21"/>
      <c r="N256" s="77"/>
      <c r="O256" s="80"/>
      <c r="P256" s="80"/>
      <c r="Q256" s="76">
        <f t="shared" si="26"/>
        <v>0</v>
      </c>
      <c r="R256" s="76">
        <f t="shared" si="27"/>
        <v>0</v>
      </c>
      <c r="S256" s="76">
        <f t="shared" si="28"/>
        <v>0</v>
      </c>
      <c r="T256" s="30"/>
    </row>
    <row r="257" spans="1:20" ht="18.75" x14ac:dyDescent="0.25">
      <c r="A257" s="21" t="s">
        <v>429</v>
      </c>
      <c r="B257" s="21" t="s">
        <v>21</v>
      </c>
      <c r="C257" s="21" t="s">
        <v>62</v>
      </c>
      <c r="D257" s="21" t="s">
        <v>509</v>
      </c>
      <c r="E257" s="21" t="s">
        <v>70</v>
      </c>
      <c r="F257" s="34" t="s">
        <v>510</v>
      </c>
      <c r="G257" s="21" t="s">
        <v>511</v>
      </c>
      <c r="H257" s="21" t="s">
        <v>151</v>
      </c>
      <c r="I257" s="21" t="s">
        <v>1003</v>
      </c>
      <c r="J257" s="21" t="s">
        <v>1004</v>
      </c>
      <c r="K257" s="21" t="s">
        <v>1409</v>
      </c>
      <c r="L257" s="21"/>
      <c r="M257" s="21"/>
      <c r="N257" s="77"/>
      <c r="O257" s="80"/>
      <c r="P257" s="80"/>
      <c r="Q257" s="76">
        <f t="shared" si="26"/>
        <v>0</v>
      </c>
      <c r="R257" s="76">
        <f t="shared" si="27"/>
        <v>0</v>
      </c>
      <c r="S257" s="76">
        <f t="shared" si="28"/>
        <v>0</v>
      </c>
      <c r="T257" s="30" t="s">
        <v>1230</v>
      </c>
    </row>
    <row r="258" spans="1:20" ht="18.75" x14ac:dyDescent="0.25">
      <c r="A258" s="21" t="s">
        <v>429</v>
      </c>
      <c r="B258" s="21" t="s">
        <v>21</v>
      </c>
      <c r="C258" s="21" t="s">
        <v>62</v>
      </c>
      <c r="D258" s="21" t="s">
        <v>509</v>
      </c>
      <c r="E258" s="21" t="s">
        <v>70</v>
      </c>
      <c r="F258" s="34" t="s">
        <v>510</v>
      </c>
      <c r="G258" s="21" t="s">
        <v>511</v>
      </c>
      <c r="H258" s="21" t="s">
        <v>153</v>
      </c>
      <c r="I258" s="21" t="s">
        <v>1005</v>
      </c>
      <c r="J258" s="21" t="s">
        <v>1006</v>
      </c>
      <c r="K258" s="21" t="s">
        <v>1318</v>
      </c>
      <c r="L258" s="21"/>
      <c r="M258" s="21"/>
      <c r="N258" s="77"/>
      <c r="O258" s="80"/>
      <c r="P258" s="80"/>
      <c r="Q258" s="76">
        <f t="shared" si="26"/>
        <v>0</v>
      </c>
      <c r="R258" s="76">
        <f t="shared" si="27"/>
        <v>0</v>
      </c>
      <c r="S258" s="76">
        <f t="shared" si="28"/>
        <v>0</v>
      </c>
      <c r="T258" s="30" t="s">
        <v>1230</v>
      </c>
    </row>
    <row r="259" spans="1:20" ht="18.75" x14ac:dyDescent="0.25">
      <c r="A259" s="21" t="s">
        <v>429</v>
      </c>
      <c r="B259" s="21" t="s">
        <v>21</v>
      </c>
      <c r="C259" s="21" t="s">
        <v>62</v>
      </c>
      <c r="D259" s="21" t="s">
        <v>509</v>
      </c>
      <c r="E259" s="21" t="s">
        <v>70</v>
      </c>
      <c r="F259" s="34" t="s">
        <v>510</v>
      </c>
      <c r="G259" s="21" t="s">
        <v>511</v>
      </c>
      <c r="H259" s="21" t="s">
        <v>155</v>
      </c>
      <c r="I259" s="21" t="s">
        <v>1007</v>
      </c>
      <c r="J259" s="21" t="s">
        <v>521</v>
      </c>
      <c r="K259" s="21" t="s">
        <v>522</v>
      </c>
      <c r="L259" s="21"/>
      <c r="M259" s="21"/>
      <c r="N259" s="77"/>
      <c r="O259" s="80"/>
      <c r="P259" s="80"/>
      <c r="Q259" s="76">
        <f t="shared" si="26"/>
        <v>0</v>
      </c>
      <c r="R259" s="76">
        <f t="shared" si="27"/>
        <v>0</v>
      </c>
      <c r="S259" s="76">
        <f t="shared" si="28"/>
        <v>0</v>
      </c>
      <c r="T259" s="30" t="s">
        <v>1230</v>
      </c>
    </row>
    <row r="260" spans="1:20" ht="18.75" x14ac:dyDescent="0.25">
      <c r="A260" s="21" t="s">
        <v>429</v>
      </c>
      <c r="B260" s="21" t="s">
        <v>21</v>
      </c>
      <c r="C260" s="21" t="s">
        <v>62</v>
      </c>
      <c r="D260" s="21" t="s">
        <v>509</v>
      </c>
      <c r="E260" s="21" t="s">
        <v>70</v>
      </c>
      <c r="F260" s="34" t="s">
        <v>510</v>
      </c>
      <c r="G260" s="21" t="s">
        <v>511</v>
      </c>
      <c r="H260" s="21" t="s">
        <v>175</v>
      </c>
      <c r="I260" s="21" t="s">
        <v>1008</v>
      </c>
      <c r="J260" s="21" t="s">
        <v>1009</v>
      </c>
      <c r="K260" s="21" t="s">
        <v>1332</v>
      </c>
      <c r="L260" s="21"/>
      <c r="M260" s="21"/>
      <c r="N260" s="77"/>
      <c r="O260" s="80"/>
      <c r="P260" s="80"/>
      <c r="Q260" s="76">
        <f t="shared" si="26"/>
        <v>0</v>
      </c>
      <c r="R260" s="76">
        <f t="shared" si="27"/>
        <v>0</v>
      </c>
      <c r="S260" s="76">
        <f t="shared" si="28"/>
        <v>0</v>
      </c>
      <c r="T260" s="30" t="s">
        <v>1230</v>
      </c>
    </row>
    <row r="261" spans="1:20" ht="18.75" x14ac:dyDescent="0.25">
      <c r="A261" s="21" t="s">
        <v>429</v>
      </c>
      <c r="B261" s="21" t="s">
        <v>21</v>
      </c>
      <c r="C261" s="21" t="s">
        <v>62</v>
      </c>
      <c r="D261" s="21" t="s">
        <v>509</v>
      </c>
      <c r="E261" s="21" t="s">
        <v>70</v>
      </c>
      <c r="F261" s="34" t="s">
        <v>510</v>
      </c>
      <c r="G261" s="21" t="s">
        <v>511</v>
      </c>
      <c r="H261" s="21" t="s">
        <v>419</v>
      </c>
      <c r="I261" s="21" t="s">
        <v>1010</v>
      </c>
      <c r="J261" s="21" t="s">
        <v>1011</v>
      </c>
      <c r="K261" s="21" t="s">
        <v>1311</v>
      </c>
      <c r="L261" s="21"/>
      <c r="M261" s="21"/>
      <c r="N261" s="77"/>
      <c r="O261" s="80"/>
      <c r="P261" s="80"/>
      <c r="Q261" s="76">
        <f t="shared" si="26"/>
        <v>0</v>
      </c>
      <c r="R261" s="76">
        <f t="shared" si="27"/>
        <v>0</v>
      </c>
      <c r="S261" s="76">
        <f t="shared" si="28"/>
        <v>0</v>
      </c>
      <c r="T261" s="30" t="s">
        <v>1230</v>
      </c>
    </row>
    <row r="262" spans="1:20" ht="18.75" x14ac:dyDescent="0.25">
      <c r="A262" s="21" t="s">
        <v>429</v>
      </c>
      <c r="B262" s="21" t="s">
        <v>21</v>
      </c>
      <c r="C262" s="21" t="s">
        <v>62</v>
      </c>
      <c r="D262" s="21" t="s">
        <v>509</v>
      </c>
      <c r="E262" s="21" t="s">
        <v>70</v>
      </c>
      <c r="F262" s="34" t="s">
        <v>510</v>
      </c>
      <c r="G262" s="21" t="s">
        <v>511</v>
      </c>
      <c r="H262" s="21" t="s">
        <v>422</v>
      </c>
      <c r="I262" s="21" t="s">
        <v>1012</v>
      </c>
      <c r="J262" s="21" t="s">
        <v>1013</v>
      </c>
      <c r="K262" s="21" t="s">
        <v>1319</v>
      </c>
      <c r="L262" s="21"/>
      <c r="M262" s="21"/>
      <c r="N262" s="77"/>
      <c r="O262" s="80"/>
      <c r="P262" s="80"/>
      <c r="Q262" s="76">
        <f t="shared" si="26"/>
        <v>0</v>
      </c>
      <c r="R262" s="76">
        <f t="shared" si="27"/>
        <v>0</v>
      </c>
      <c r="S262" s="76">
        <f t="shared" si="28"/>
        <v>0</v>
      </c>
      <c r="T262" s="30" t="s">
        <v>1230</v>
      </c>
    </row>
    <row r="263" spans="1:20" ht="18.75" x14ac:dyDescent="0.25">
      <c r="A263" s="21" t="s">
        <v>429</v>
      </c>
      <c r="B263" s="21" t="s">
        <v>21</v>
      </c>
      <c r="C263" s="21" t="s">
        <v>62</v>
      </c>
      <c r="D263" s="21" t="s">
        <v>509</v>
      </c>
      <c r="E263" s="21" t="s">
        <v>70</v>
      </c>
      <c r="F263" s="34" t="s">
        <v>510</v>
      </c>
      <c r="G263" s="21" t="s">
        <v>511</v>
      </c>
      <c r="H263" s="21" t="s">
        <v>290</v>
      </c>
      <c r="I263" s="21" t="s">
        <v>1014</v>
      </c>
      <c r="J263" s="21" t="s">
        <v>1015</v>
      </c>
      <c r="K263" s="21" t="s">
        <v>1312</v>
      </c>
      <c r="L263" s="21"/>
      <c r="M263" s="21"/>
      <c r="N263" s="77"/>
      <c r="O263" s="80"/>
      <c r="P263" s="80"/>
      <c r="Q263" s="76">
        <f t="shared" si="26"/>
        <v>0</v>
      </c>
      <c r="R263" s="76">
        <f t="shared" si="27"/>
        <v>0</v>
      </c>
      <c r="S263" s="76">
        <f t="shared" si="28"/>
        <v>0</v>
      </c>
      <c r="T263" s="30" t="s">
        <v>1230</v>
      </c>
    </row>
    <row r="264" spans="1:20" ht="18.75" x14ac:dyDescent="0.25">
      <c r="A264" s="21" t="s">
        <v>429</v>
      </c>
      <c r="B264" s="21" t="s">
        <v>21</v>
      </c>
      <c r="C264" s="21" t="s">
        <v>62</v>
      </c>
      <c r="D264" s="21" t="s">
        <v>509</v>
      </c>
      <c r="E264" s="21" t="s">
        <v>70</v>
      </c>
      <c r="F264" s="34" t="s">
        <v>510</v>
      </c>
      <c r="G264" s="21" t="s">
        <v>511</v>
      </c>
      <c r="H264" s="21" t="s">
        <v>223</v>
      </c>
      <c r="I264" s="21" t="s">
        <v>1016</v>
      </c>
      <c r="J264" s="21" t="s">
        <v>1017</v>
      </c>
      <c r="K264" s="21" t="s">
        <v>1313</v>
      </c>
      <c r="L264" s="21"/>
      <c r="M264" s="21"/>
      <c r="N264" s="77"/>
      <c r="O264" s="80"/>
      <c r="P264" s="80"/>
      <c r="Q264" s="76">
        <f t="shared" si="26"/>
        <v>0</v>
      </c>
      <c r="R264" s="76">
        <f t="shared" si="27"/>
        <v>0</v>
      </c>
      <c r="S264" s="76">
        <f t="shared" si="28"/>
        <v>0</v>
      </c>
      <c r="T264" s="30" t="s">
        <v>1230</v>
      </c>
    </row>
    <row r="265" spans="1:20" ht="18.75" x14ac:dyDescent="0.25">
      <c r="A265" s="21" t="s">
        <v>429</v>
      </c>
      <c r="B265" s="21" t="s">
        <v>21</v>
      </c>
      <c r="C265" s="21" t="s">
        <v>62</v>
      </c>
      <c r="D265" s="21" t="s">
        <v>509</v>
      </c>
      <c r="E265" s="21" t="s">
        <v>70</v>
      </c>
      <c r="F265" s="34" t="s">
        <v>510</v>
      </c>
      <c r="G265" s="21" t="s">
        <v>511</v>
      </c>
      <c r="H265" s="21" t="s">
        <v>429</v>
      </c>
      <c r="I265" s="21" t="s">
        <v>1018</v>
      </c>
      <c r="J265" s="21" t="s">
        <v>1019</v>
      </c>
      <c r="K265" s="21" t="s">
        <v>1314</v>
      </c>
      <c r="L265" s="21"/>
      <c r="M265" s="21"/>
      <c r="N265" s="77"/>
      <c r="O265" s="80"/>
      <c r="P265" s="80"/>
      <c r="Q265" s="76">
        <f t="shared" si="26"/>
        <v>0</v>
      </c>
      <c r="R265" s="76">
        <f t="shared" si="27"/>
        <v>0</v>
      </c>
      <c r="S265" s="76">
        <f t="shared" si="28"/>
        <v>0</v>
      </c>
      <c r="T265" s="30" t="s">
        <v>1230</v>
      </c>
    </row>
    <row r="266" spans="1:20" ht="18.75" x14ac:dyDescent="0.25">
      <c r="A266" s="21" t="s">
        <v>429</v>
      </c>
      <c r="B266" s="21" t="s">
        <v>21</v>
      </c>
      <c r="C266" s="21" t="s">
        <v>62</v>
      </c>
      <c r="D266" s="21" t="s">
        <v>509</v>
      </c>
      <c r="E266" s="21" t="s">
        <v>70</v>
      </c>
      <c r="F266" s="34" t="s">
        <v>510</v>
      </c>
      <c r="G266" s="21" t="s">
        <v>511</v>
      </c>
      <c r="H266" s="21" t="s">
        <v>432</v>
      </c>
      <c r="I266" s="21" t="s">
        <v>1020</v>
      </c>
      <c r="J266" s="21" t="s">
        <v>1021</v>
      </c>
      <c r="K266" s="21" t="s">
        <v>1315</v>
      </c>
      <c r="L266" s="21"/>
      <c r="M266" s="21"/>
      <c r="N266" s="77"/>
      <c r="O266" s="80"/>
      <c r="P266" s="80"/>
      <c r="Q266" s="76">
        <f t="shared" si="26"/>
        <v>0</v>
      </c>
      <c r="R266" s="76">
        <f t="shared" si="27"/>
        <v>0</v>
      </c>
      <c r="S266" s="76">
        <f t="shared" si="28"/>
        <v>0</v>
      </c>
      <c r="T266" s="30" t="s">
        <v>1230</v>
      </c>
    </row>
    <row r="267" spans="1:20" ht="30" x14ac:dyDescent="0.25">
      <c r="A267" s="21" t="s">
        <v>429</v>
      </c>
      <c r="B267" s="21" t="s">
        <v>21</v>
      </c>
      <c r="C267" s="21" t="s">
        <v>62</v>
      </c>
      <c r="D267" s="21" t="s">
        <v>509</v>
      </c>
      <c r="E267" s="21" t="s">
        <v>70</v>
      </c>
      <c r="F267" s="34" t="s">
        <v>510</v>
      </c>
      <c r="G267" s="21" t="s">
        <v>511</v>
      </c>
      <c r="H267" s="21" t="s">
        <v>435</v>
      </c>
      <c r="I267" s="21" t="s">
        <v>1022</v>
      </c>
      <c r="J267" s="21" t="s">
        <v>1023</v>
      </c>
      <c r="K267" s="21" t="s">
        <v>1348</v>
      </c>
      <c r="L267" s="21"/>
      <c r="M267" s="21"/>
      <c r="N267" s="77"/>
      <c r="O267" s="80"/>
      <c r="P267" s="80"/>
      <c r="Q267" s="76">
        <f t="shared" si="26"/>
        <v>0</v>
      </c>
      <c r="R267" s="76">
        <f t="shared" si="27"/>
        <v>0</v>
      </c>
      <c r="S267" s="76">
        <f t="shared" si="28"/>
        <v>0</v>
      </c>
      <c r="T267" s="30" t="s">
        <v>1230</v>
      </c>
    </row>
    <row r="268" spans="1:20" ht="30" x14ac:dyDescent="0.25">
      <c r="A268" s="21" t="s">
        <v>429</v>
      </c>
      <c r="B268" s="21" t="s">
        <v>21</v>
      </c>
      <c r="C268" s="21" t="s">
        <v>62</v>
      </c>
      <c r="D268" s="21" t="s">
        <v>509</v>
      </c>
      <c r="E268" s="21" t="s">
        <v>70</v>
      </c>
      <c r="F268" s="34" t="s">
        <v>510</v>
      </c>
      <c r="G268" s="21" t="s">
        <v>511</v>
      </c>
      <c r="H268" s="21" t="s">
        <v>438</v>
      </c>
      <c r="I268" s="21" t="s">
        <v>1024</v>
      </c>
      <c r="J268" s="21" t="s">
        <v>1025</v>
      </c>
      <c r="K268" s="21" t="s">
        <v>1349</v>
      </c>
      <c r="L268" s="21"/>
      <c r="M268" s="21"/>
      <c r="N268" s="77"/>
      <c r="O268" s="80"/>
      <c r="P268" s="80"/>
      <c r="Q268" s="76">
        <f t="shared" si="26"/>
        <v>0</v>
      </c>
      <c r="R268" s="76">
        <f t="shared" si="27"/>
        <v>0</v>
      </c>
      <c r="S268" s="76">
        <f t="shared" si="28"/>
        <v>0</v>
      </c>
      <c r="T268" s="30" t="s">
        <v>1230</v>
      </c>
    </row>
    <row r="269" spans="1:20" ht="18.75" x14ac:dyDescent="0.25">
      <c r="A269" s="21"/>
      <c r="B269" s="21"/>
      <c r="C269" s="21"/>
      <c r="D269" s="21"/>
      <c r="E269" s="21"/>
      <c r="F269" s="34"/>
      <c r="G269" s="21"/>
      <c r="H269" s="21"/>
      <c r="I269" s="21"/>
      <c r="J269" s="21"/>
      <c r="K269" s="21"/>
      <c r="L269" s="21"/>
      <c r="M269" s="21"/>
      <c r="N269" s="77"/>
      <c r="O269" s="80"/>
      <c r="P269" s="80"/>
      <c r="Q269" s="76">
        <f t="shared" si="26"/>
        <v>0</v>
      </c>
      <c r="R269" s="76">
        <f t="shared" si="27"/>
        <v>0</v>
      </c>
      <c r="S269" s="76">
        <f t="shared" si="28"/>
        <v>0</v>
      </c>
      <c r="T269" s="30"/>
    </row>
    <row r="270" spans="1:20" ht="18.75" x14ac:dyDescent="0.25">
      <c r="A270" s="21"/>
      <c r="B270" s="21"/>
      <c r="C270" s="21"/>
      <c r="D270" s="21"/>
      <c r="E270" s="21"/>
      <c r="F270" s="34"/>
      <c r="G270" s="21"/>
      <c r="H270" s="21"/>
      <c r="I270" s="21"/>
      <c r="J270" s="21"/>
      <c r="K270" s="21"/>
      <c r="L270" s="21"/>
      <c r="M270" s="21"/>
      <c r="N270" s="77"/>
      <c r="O270" s="80"/>
      <c r="P270" s="80"/>
      <c r="Q270" s="76">
        <f t="shared" si="26"/>
        <v>0</v>
      </c>
      <c r="R270" s="76">
        <f t="shared" si="27"/>
        <v>0</v>
      </c>
      <c r="S270" s="76">
        <f t="shared" si="28"/>
        <v>0</v>
      </c>
      <c r="T270" s="30"/>
    </row>
    <row r="271" spans="1:20" ht="18.75" x14ac:dyDescent="0.25">
      <c r="A271" s="21"/>
      <c r="B271" s="21"/>
      <c r="C271" s="21"/>
      <c r="D271" s="21"/>
      <c r="E271" s="21"/>
      <c r="F271" s="34"/>
      <c r="G271" s="21"/>
      <c r="H271" s="21"/>
      <c r="I271" s="21"/>
      <c r="J271" s="21"/>
      <c r="K271" s="21"/>
      <c r="L271" s="21"/>
      <c r="M271" s="21"/>
      <c r="N271" s="77"/>
      <c r="O271" s="80"/>
      <c r="P271" s="80"/>
      <c r="Q271" s="76">
        <f t="shared" si="26"/>
        <v>0</v>
      </c>
      <c r="R271" s="76">
        <f t="shared" si="27"/>
        <v>0</v>
      </c>
      <c r="S271" s="76">
        <f t="shared" si="28"/>
        <v>0</v>
      </c>
      <c r="T271" s="30"/>
    </row>
    <row r="272" spans="1:20" ht="18.75" x14ac:dyDescent="0.25">
      <c r="A272" s="21" t="s">
        <v>429</v>
      </c>
      <c r="B272" s="21" t="s">
        <v>21</v>
      </c>
      <c r="C272" s="21" t="s">
        <v>62</v>
      </c>
      <c r="D272" s="21" t="s">
        <v>509</v>
      </c>
      <c r="E272" s="21" t="s">
        <v>70</v>
      </c>
      <c r="F272" s="34" t="s">
        <v>510</v>
      </c>
      <c r="G272" s="21" t="s">
        <v>511</v>
      </c>
      <c r="H272" s="21" t="s">
        <v>450</v>
      </c>
      <c r="I272" s="21" t="s">
        <v>1026</v>
      </c>
      <c r="J272" s="21" t="s">
        <v>1027</v>
      </c>
      <c r="K272" s="21" t="s">
        <v>1310</v>
      </c>
      <c r="L272" s="21"/>
      <c r="M272" s="21"/>
      <c r="N272" s="77"/>
      <c r="O272" s="80"/>
      <c r="P272" s="80"/>
      <c r="Q272" s="76">
        <f t="shared" si="26"/>
        <v>0</v>
      </c>
      <c r="R272" s="76">
        <f t="shared" si="27"/>
        <v>0</v>
      </c>
      <c r="S272" s="76">
        <f t="shared" si="28"/>
        <v>0</v>
      </c>
      <c r="T272" s="30" t="s">
        <v>1230</v>
      </c>
    </row>
    <row r="273" spans="1:20" ht="18.75" x14ac:dyDescent="0.25">
      <c r="A273" s="21"/>
      <c r="B273" s="21"/>
      <c r="C273" s="21"/>
      <c r="D273" s="21"/>
      <c r="E273" s="21"/>
      <c r="F273" s="34"/>
      <c r="G273" s="21"/>
      <c r="H273" s="21"/>
      <c r="I273" s="21"/>
      <c r="J273" s="21"/>
      <c r="K273" s="21"/>
      <c r="L273" s="21"/>
      <c r="M273" s="21"/>
      <c r="N273" s="77"/>
      <c r="O273" s="80"/>
      <c r="P273" s="80"/>
      <c r="Q273" s="76">
        <f t="shared" si="26"/>
        <v>0</v>
      </c>
      <c r="R273" s="76">
        <f t="shared" si="27"/>
        <v>0</v>
      </c>
      <c r="S273" s="76">
        <f t="shared" si="28"/>
        <v>0</v>
      </c>
      <c r="T273" s="30"/>
    </row>
    <row r="274" spans="1:20" ht="18.75" x14ac:dyDescent="0.25">
      <c r="A274" s="21" t="s">
        <v>429</v>
      </c>
      <c r="B274" s="21" t="s">
        <v>21</v>
      </c>
      <c r="C274" s="21" t="s">
        <v>62</v>
      </c>
      <c r="D274" s="21" t="s">
        <v>509</v>
      </c>
      <c r="E274" s="21" t="s">
        <v>70</v>
      </c>
      <c r="F274" s="34" t="s">
        <v>510</v>
      </c>
      <c r="G274" s="21" t="s">
        <v>511</v>
      </c>
      <c r="H274" s="21" t="s">
        <v>456</v>
      </c>
      <c r="I274" s="21" t="s">
        <v>1028</v>
      </c>
      <c r="J274" s="21" t="s">
        <v>1342</v>
      </c>
      <c r="K274" s="21" t="s">
        <v>1343</v>
      </c>
      <c r="L274" s="21"/>
      <c r="M274" s="21"/>
      <c r="N274" s="77"/>
      <c r="O274" s="80"/>
      <c r="P274" s="80"/>
      <c r="Q274" s="76">
        <f t="shared" si="26"/>
        <v>0</v>
      </c>
      <c r="R274" s="76">
        <f t="shared" si="27"/>
        <v>0</v>
      </c>
      <c r="S274" s="76">
        <f t="shared" si="28"/>
        <v>0</v>
      </c>
      <c r="T274" s="30" t="s">
        <v>1230</v>
      </c>
    </row>
    <row r="275" spans="1:20" ht="18.75" x14ac:dyDescent="0.25">
      <c r="A275" s="21"/>
      <c r="B275" s="21"/>
      <c r="C275" s="21"/>
      <c r="D275" s="21"/>
      <c r="E275" s="21"/>
      <c r="F275" s="34"/>
      <c r="G275" s="21"/>
      <c r="H275" s="21"/>
      <c r="I275" s="21"/>
      <c r="J275" s="21"/>
      <c r="K275" s="21"/>
      <c r="L275" s="21"/>
      <c r="M275" s="21"/>
      <c r="N275" s="77"/>
      <c r="O275" s="80"/>
      <c r="P275" s="80"/>
      <c r="Q275" s="76">
        <f t="shared" si="26"/>
        <v>0</v>
      </c>
      <c r="R275" s="76">
        <f t="shared" si="27"/>
        <v>0</v>
      </c>
      <c r="S275" s="76">
        <f t="shared" si="28"/>
        <v>0</v>
      </c>
      <c r="T275" s="30"/>
    </row>
    <row r="276" spans="1:20" ht="18.75" x14ac:dyDescent="0.25">
      <c r="A276" s="21" t="s">
        <v>429</v>
      </c>
      <c r="B276" s="21" t="s">
        <v>21</v>
      </c>
      <c r="C276" s="21" t="s">
        <v>62</v>
      </c>
      <c r="D276" s="21" t="s">
        <v>509</v>
      </c>
      <c r="E276" s="21" t="s">
        <v>70</v>
      </c>
      <c r="F276" s="34" t="s">
        <v>510</v>
      </c>
      <c r="G276" s="21" t="s">
        <v>511</v>
      </c>
      <c r="H276" s="21" t="s">
        <v>462</v>
      </c>
      <c r="I276" s="21" t="s">
        <v>1029</v>
      </c>
      <c r="J276" s="21" t="s">
        <v>523</v>
      </c>
      <c r="K276" s="21" t="s">
        <v>524</v>
      </c>
      <c r="L276" s="21"/>
      <c r="M276" s="21"/>
      <c r="N276" s="77"/>
      <c r="O276" s="80"/>
      <c r="P276" s="80"/>
      <c r="Q276" s="76">
        <f t="shared" si="26"/>
        <v>0</v>
      </c>
      <c r="R276" s="76">
        <f t="shared" si="27"/>
        <v>0</v>
      </c>
      <c r="S276" s="76">
        <f t="shared" si="28"/>
        <v>0</v>
      </c>
      <c r="T276" s="30">
        <v>0</v>
      </c>
    </row>
    <row r="277" spans="1:20" ht="18.75" x14ac:dyDescent="0.25">
      <c r="A277" s="21" t="s">
        <v>429</v>
      </c>
      <c r="B277" s="21" t="s">
        <v>21</v>
      </c>
      <c r="C277" s="21" t="s">
        <v>62</v>
      </c>
      <c r="D277" s="21" t="s">
        <v>509</v>
      </c>
      <c r="E277" s="21" t="s">
        <v>70</v>
      </c>
      <c r="F277" s="34" t="s">
        <v>510</v>
      </c>
      <c r="G277" s="21" t="s">
        <v>511</v>
      </c>
      <c r="H277" s="21" t="s">
        <v>198</v>
      </c>
      <c r="I277" s="21" t="s">
        <v>1030</v>
      </c>
      <c r="J277" s="21" t="s">
        <v>525</v>
      </c>
      <c r="K277" s="21" t="s">
        <v>526</v>
      </c>
      <c r="L277" s="21"/>
      <c r="M277" s="21"/>
      <c r="N277" s="77"/>
      <c r="O277" s="80"/>
      <c r="P277" s="80"/>
      <c r="Q277" s="76">
        <f t="shared" si="26"/>
        <v>0</v>
      </c>
      <c r="R277" s="76">
        <f t="shared" si="27"/>
        <v>0</v>
      </c>
      <c r="S277" s="76">
        <f t="shared" si="28"/>
        <v>0</v>
      </c>
      <c r="T277" s="30">
        <v>0</v>
      </c>
    </row>
    <row r="278" spans="1:20" ht="18.75" x14ac:dyDescent="0.25">
      <c r="A278" s="21" t="s">
        <v>429</v>
      </c>
      <c r="B278" s="21" t="s">
        <v>21</v>
      </c>
      <c r="C278" s="21" t="s">
        <v>62</v>
      </c>
      <c r="D278" s="21" t="s">
        <v>509</v>
      </c>
      <c r="E278" s="21" t="s">
        <v>70</v>
      </c>
      <c r="F278" s="34" t="s">
        <v>510</v>
      </c>
      <c r="G278" s="21" t="s">
        <v>511</v>
      </c>
      <c r="H278" s="21" t="s">
        <v>471</v>
      </c>
      <c r="I278" s="21" t="s">
        <v>1031</v>
      </c>
      <c r="J278" s="21" t="s">
        <v>1032</v>
      </c>
      <c r="K278" s="21" t="s">
        <v>1325</v>
      </c>
      <c r="L278" s="21"/>
      <c r="M278" s="21"/>
      <c r="N278" s="77"/>
      <c r="O278" s="80"/>
      <c r="P278" s="80"/>
      <c r="Q278" s="76">
        <f t="shared" si="26"/>
        <v>0</v>
      </c>
      <c r="R278" s="76">
        <f t="shared" si="27"/>
        <v>0</v>
      </c>
      <c r="S278" s="76">
        <f t="shared" si="28"/>
        <v>0</v>
      </c>
      <c r="T278" s="30" t="s">
        <v>1230</v>
      </c>
    </row>
    <row r="279" spans="1:20" ht="18.75" x14ac:dyDescent="0.25">
      <c r="A279" s="21" t="s">
        <v>429</v>
      </c>
      <c r="B279" s="21" t="s">
        <v>21</v>
      </c>
      <c r="C279" s="21" t="s">
        <v>62</v>
      </c>
      <c r="D279" s="21" t="s">
        <v>509</v>
      </c>
      <c r="E279" s="21" t="s">
        <v>70</v>
      </c>
      <c r="F279" s="34" t="s">
        <v>510</v>
      </c>
      <c r="G279" s="21" t="s">
        <v>511</v>
      </c>
      <c r="H279" s="21" t="s">
        <v>474</v>
      </c>
      <c r="I279" s="21" t="s">
        <v>1033</v>
      </c>
      <c r="J279" s="21" t="s">
        <v>1460</v>
      </c>
      <c r="K279" s="21" t="s">
        <v>1612</v>
      </c>
      <c r="L279" s="21"/>
      <c r="M279" s="21"/>
      <c r="N279" s="77"/>
      <c r="O279" s="80"/>
      <c r="P279" s="80"/>
      <c r="Q279" s="76">
        <f t="shared" si="26"/>
        <v>0</v>
      </c>
      <c r="R279" s="76">
        <f t="shared" si="27"/>
        <v>0</v>
      </c>
      <c r="S279" s="76">
        <f t="shared" si="28"/>
        <v>0</v>
      </c>
      <c r="T279" s="30">
        <v>0</v>
      </c>
    </row>
    <row r="280" spans="1:20" ht="18.75" x14ac:dyDescent="0.25">
      <c r="A280" s="21" t="s">
        <v>429</v>
      </c>
      <c r="B280" s="21" t="s">
        <v>21</v>
      </c>
      <c r="C280" s="21" t="s">
        <v>62</v>
      </c>
      <c r="D280" s="21" t="s">
        <v>509</v>
      </c>
      <c r="E280" s="21" t="s">
        <v>70</v>
      </c>
      <c r="F280" s="34" t="s">
        <v>510</v>
      </c>
      <c r="G280" s="21" t="s">
        <v>511</v>
      </c>
      <c r="H280" s="21" t="s">
        <v>477</v>
      </c>
      <c r="I280" s="21" t="s">
        <v>1034</v>
      </c>
      <c r="J280" s="21" t="s">
        <v>1035</v>
      </c>
      <c r="K280" s="21" t="s">
        <v>1408</v>
      </c>
      <c r="L280" s="21"/>
      <c r="M280" s="21"/>
      <c r="N280" s="77"/>
      <c r="O280" s="80"/>
      <c r="P280" s="80"/>
      <c r="Q280" s="76">
        <f t="shared" si="26"/>
        <v>0</v>
      </c>
      <c r="R280" s="76">
        <f t="shared" si="27"/>
        <v>0</v>
      </c>
      <c r="S280" s="76">
        <f t="shared" si="28"/>
        <v>0</v>
      </c>
      <c r="T280" s="30" t="s">
        <v>1230</v>
      </c>
    </row>
    <row r="281" spans="1:20" ht="18.75" x14ac:dyDescent="0.25">
      <c r="A281" s="21" t="s">
        <v>429</v>
      </c>
      <c r="B281" s="21" t="s">
        <v>21</v>
      </c>
      <c r="C281" s="21" t="s">
        <v>62</v>
      </c>
      <c r="D281" s="21" t="s">
        <v>509</v>
      </c>
      <c r="E281" s="21" t="s">
        <v>70</v>
      </c>
      <c r="F281" s="34" t="s">
        <v>510</v>
      </c>
      <c r="G281" s="21" t="s">
        <v>511</v>
      </c>
      <c r="H281" s="21" t="s">
        <v>479</v>
      </c>
      <c r="I281" s="21" t="s">
        <v>1036</v>
      </c>
      <c r="J281" s="21" t="s">
        <v>1037</v>
      </c>
      <c r="K281" s="21" t="s">
        <v>1335</v>
      </c>
      <c r="L281" s="21"/>
      <c r="M281" s="21"/>
      <c r="N281" s="77"/>
      <c r="O281" s="80"/>
      <c r="P281" s="80"/>
      <c r="Q281" s="76">
        <f t="shared" si="26"/>
        <v>0</v>
      </c>
      <c r="R281" s="76">
        <f t="shared" si="27"/>
        <v>0</v>
      </c>
      <c r="S281" s="76">
        <f t="shared" si="28"/>
        <v>0</v>
      </c>
      <c r="T281" s="30" t="s">
        <v>1230</v>
      </c>
    </row>
    <row r="282" spans="1:20" ht="18.75" x14ac:dyDescent="0.25">
      <c r="A282" s="21" t="s">
        <v>429</v>
      </c>
      <c r="B282" s="21" t="s">
        <v>21</v>
      </c>
      <c r="C282" s="21" t="s">
        <v>62</v>
      </c>
      <c r="D282" s="21" t="s">
        <v>509</v>
      </c>
      <c r="E282" s="21" t="s">
        <v>70</v>
      </c>
      <c r="F282" s="34" t="s">
        <v>510</v>
      </c>
      <c r="G282" s="21" t="s">
        <v>511</v>
      </c>
      <c r="H282" s="21" t="s">
        <v>482</v>
      </c>
      <c r="I282" s="21" t="s">
        <v>1038</v>
      </c>
      <c r="J282" s="21" t="s">
        <v>1039</v>
      </c>
      <c r="K282" s="21" t="s">
        <v>1337</v>
      </c>
      <c r="L282" s="21"/>
      <c r="M282" s="21"/>
      <c r="N282" s="77"/>
      <c r="O282" s="80"/>
      <c r="P282" s="80"/>
      <c r="Q282" s="76">
        <f t="shared" si="26"/>
        <v>0</v>
      </c>
      <c r="R282" s="76">
        <f t="shared" si="27"/>
        <v>0</v>
      </c>
      <c r="S282" s="76">
        <f t="shared" si="28"/>
        <v>0</v>
      </c>
      <c r="T282" s="30" t="s">
        <v>1230</v>
      </c>
    </row>
    <row r="283" spans="1:20" ht="18.75" x14ac:dyDescent="0.25">
      <c r="A283" s="21" t="s">
        <v>429</v>
      </c>
      <c r="B283" s="21" t="s">
        <v>21</v>
      </c>
      <c r="C283" s="21" t="s">
        <v>62</v>
      </c>
      <c r="D283" s="21" t="s">
        <v>509</v>
      </c>
      <c r="E283" s="21" t="s">
        <v>70</v>
      </c>
      <c r="F283" s="34" t="s">
        <v>510</v>
      </c>
      <c r="G283" s="21" t="s">
        <v>511</v>
      </c>
      <c r="H283" s="21" t="s">
        <v>485</v>
      </c>
      <c r="I283" s="21" t="s">
        <v>1040</v>
      </c>
      <c r="J283" s="21" t="s">
        <v>1041</v>
      </c>
      <c r="K283" s="21" t="s">
        <v>1336</v>
      </c>
      <c r="L283" s="21"/>
      <c r="M283" s="21"/>
      <c r="N283" s="77"/>
      <c r="O283" s="80"/>
      <c r="P283" s="80"/>
      <c r="Q283" s="76">
        <f t="shared" ref="Q283:Q314" si="29">IF($H283=0,0,COUNTIF(I:I,I283)-1)</f>
        <v>0</v>
      </c>
      <c r="R283" s="76">
        <f t="shared" ref="R283:R314" si="30">IF($H283=0,0,COUNTIF(J:J,J283)-1)</f>
        <v>0</v>
      </c>
      <c r="S283" s="76">
        <f t="shared" ref="S283:S314" si="31">IF($H283=0,0,COUNTIF(K:K,K283)-1)</f>
        <v>0</v>
      </c>
      <c r="T283" s="30" t="s">
        <v>1230</v>
      </c>
    </row>
    <row r="284" spans="1:20" ht="18.75" x14ac:dyDescent="0.25">
      <c r="A284" s="21" t="s">
        <v>429</v>
      </c>
      <c r="B284" s="21" t="s">
        <v>21</v>
      </c>
      <c r="C284" s="21" t="s">
        <v>62</v>
      </c>
      <c r="D284" s="21" t="s">
        <v>509</v>
      </c>
      <c r="E284" s="21" t="s">
        <v>70</v>
      </c>
      <c r="F284" s="34" t="s">
        <v>510</v>
      </c>
      <c r="G284" s="21" t="s">
        <v>511</v>
      </c>
      <c r="H284" s="21" t="s">
        <v>488</v>
      </c>
      <c r="I284" s="21" t="s">
        <v>1042</v>
      </c>
      <c r="J284" s="21" t="s">
        <v>1043</v>
      </c>
      <c r="K284" s="21" t="s">
        <v>527</v>
      </c>
      <c r="L284" s="21"/>
      <c r="M284" s="21"/>
      <c r="N284" s="77"/>
      <c r="O284" s="80"/>
      <c r="P284" s="80"/>
      <c r="Q284" s="76">
        <f t="shared" si="29"/>
        <v>0</v>
      </c>
      <c r="R284" s="76">
        <f t="shared" si="30"/>
        <v>0</v>
      </c>
      <c r="S284" s="76">
        <f t="shared" si="31"/>
        <v>0</v>
      </c>
      <c r="T284" s="30">
        <v>0</v>
      </c>
    </row>
    <row r="285" spans="1:20" ht="18.75" x14ac:dyDescent="0.25">
      <c r="A285" s="21" t="s">
        <v>429</v>
      </c>
      <c r="B285" s="21" t="s">
        <v>21</v>
      </c>
      <c r="C285" s="21" t="s">
        <v>62</v>
      </c>
      <c r="D285" s="21" t="s">
        <v>509</v>
      </c>
      <c r="E285" s="21" t="s">
        <v>70</v>
      </c>
      <c r="F285" s="34" t="s">
        <v>510</v>
      </c>
      <c r="G285" s="21" t="s">
        <v>511</v>
      </c>
      <c r="H285" s="21" t="s">
        <v>68</v>
      </c>
      <c r="I285" s="21" t="s">
        <v>1044</v>
      </c>
      <c r="J285" s="21" t="s">
        <v>1045</v>
      </c>
      <c r="K285" s="21" t="s">
        <v>1361</v>
      </c>
      <c r="L285" s="21"/>
      <c r="M285" s="21"/>
      <c r="N285" s="77"/>
      <c r="O285" s="80"/>
      <c r="P285" s="80"/>
      <c r="Q285" s="76">
        <f t="shared" si="29"/>
        <v>0</v>
      </c>
      <c r="R285" s="76">
        <f t="shared" si="30"/>
        <v>0</v>
      </c>
      <c r="S285" s="76">
        <f t="shared" si="31"/>
        <v>0</v>
      </c>
      <c r="T285" s="30" t="s">
        <v>1230</v>
      </c>
    </row>
    <row r="286" spans="1:20" ht="18.75" x14ac:dyDescent="0.25">
      <c r="A286" s="21" t="s">
        <v>429</v>
      </c>
      <c r="B286" s="21" t="s">
        <v>21</v>
      </c>
      <c r="C286" s="21" t="s">
        <v>62</v>
      </c>
      <c r="D286" s="21" t="s">
        <v>509</v>
      </c>
      <c r="E286" s="21" t="s">
        <v>70</v>
      </c>
      <c r="F286" s="34" t="s">
        <v>510</v>
      </c>
      <c r="G286" s="21" t="s">
        <v>511</v>
      </c>
      <c r="H286" s="21" t="s">
        <v>496</v>
      </c>
      <c r="I286" s="21" t="s">
        <v>1046</v>
      </c>
      <c r="J286" s="21" t="s">
        <v>1463</v>
      </c>
      <c r="K286" s="21" t="s">
        <v>1426</v>
      </c>
      <c r="L286" s="21"/>
      <c r="M286" s="21"/>
      <c r="N286" s="77"/>
      <c r="O286" s="80"/>
      <c r="P286" s="80"/>
      <c r="Q286" s="76">
        <f t="shared" si="29"/>
        <v>0</v>
      </c>
      <c r="R286" s="76">
        <f t="shared" si="30"/>
        <v>0</v>
      </c>
      <c r="S286" s="76">
        <f t="shared" si="31"/>
        <v>0</v>
      </c>
      <c r="T286" s="30" t="s">
        <v>1230</v>
      </c>
    </row>
    <row r="287" spans="1:20" ht="18.75" x14ac:dyDescent="0.25">
      <c r="A287" s="21" t="s">
        <v>429</v>
      </c>
      <c r="B287" s="21" t="s">
        <v>21</v>
      </c>
      <c r="C287" s="21" t="s">
        <v>62</v>
      </c>
      <c r="D287" s="21" t="s">
        <v>509</v>
      </c>
      <c r="E287" s="21" t="s">
        <v>70</v>
      </c>
      <c r="F287" s="34" t="s">
        <v>510</v>
      </c>
      <c r="G287" s="21" t="s">
        <v>511</v>
      </c>
      <c r="H287" s="21" t="s">
        <v>499</v>
      </c>
      <c r="I287" s="30" t="s">
        <v>1170</v>
      </c>
      <c r="J287" s="21" t="s">
        <v>1374</v>
      </c>
      <c r="K287" s="21" t="s">
        <v>1375</v>
      </c>
      <c r="L287" s="21"/>
      <c r="M287" s="42"/>
      <c r="N287" s="77"/>
      <c r="O287" s="80"/>
      <c r="P287" s="80"/>
      <c r="Q287" s="76">
        <f t="shared" si="29"/>
        <v>0</v>
      </c>
      <c r="R287" s="76">
        <f t="shared" si="30"/>
        <v>0</v>
      </c>
      <c r="S287" s="76">
        <f t="shared" si="31"/>
        <v>0</v>
      </c>
      <c r="T287" s="30" t="s">
        <v>1230</v>
      </c>
    </row>
    <row r="288" spans="1:20" ht="18.75" x14ac:dyDescent="0.25">
      <c r="A288" s="21" t="s">
        <v>429</v>
      </c>
      <c r="B288" s="21" t="s">
        <v>21</v>
      </c>
      <c r="C288" s="21" t="s">
        <v>62</v>
      </c>
      <c r="D288" s="21" t="s">
        <v>509</v>
      </c>
      <c r="E288" s="21" t="s">
        <v>70</v>
      </c>
      <c r="F288" s="34" t="s">
        <v>510</v>
      </c>
      <c r="G288" s="21" t="s">
        <v>511</v>
      </c>
      <c r="H288" s="21">
        <v>53</v>
      </c>
      <c r="I288" s="30" t="s">
        <v>1171</v>
      </c>
      <c r="J288" s="21" t="s">
        <v>1129</v>
      </c>
      <c r="K288" s="21" t="s">
        <v>1251</v>
      </c>
      <c r="L288" s="21"/>
      <c r="M288" s="42"/>
      <c r="N288" s="77"/>
      <c r="O288" s="80"/>
      <c r="P288" s="80"/>
      <c r="Q288" s="76">
        <f t="shared" si="29"/>
        <v>0</v>
      </c>
      <c r="R288" s="76">
        <f t="shared" si="30"/>
        <v>0</v>
      </c>
      <c r="S288" s="76">
        <f t="shared" si="31"/>
        <v>0</v>
      </c>
      <c r="T288" s="30" t="s">
        <v>1230</v>
      </c>
    </row>
    <row r="289" spans="1:20" ht="18.75" x14ac:dyDescent="0.25">
      <c r="A289" s="21" t="s">
        <v>429</v>
      </c>
      <c r="B289" s="21" t="s">
        <v>21</v>
      </c>
      <c r="C289" s="21" t="s">
        <v>62</v>
      </c>
      <c r="D289" s="21" t="s">
        <v>509</v>
      </c>
      <c r="E289" s="21" t="s">
        <v>70</v>
      </c>
      <c r="F289" s="34" t="s">
        <v>510</v>
      </c>
      <c r="G289" s="21" t="s">
        <v>511</v>
      </c>
      <c r="H289" s="21">
        <v>54</v>
      </c>
      <c r="I289" s="30" t="s">
        <v>1172</v>
      </c>
      <c r="J289" s="21" t="s">
        <v>1130</v>
      </c>
      <c r="K289" s="21" t="s">
        <v>1252</v>
      </c>
      <c r="L289" s="21"/>
      <c r="M289" s="42"/>
      <c r="N289" s="77"/>
      <c r="O289" s="80"/>
      <c r="P289" s="80"/>
      <c r="Q289" s="76">
        <f t="shared" si="29"/>
        <v>0</v>
      </c>
      <c r="R289" s="76">
        <f t="shared" si="30"/>
        <v>0</v>
      </c>
      <c r="S289" s="76">
        <f t="shared" si="31"/>
        <v>0</v>
      </c>
      <c r="T289" s="30" t="s">
        <v>1230</v>
      </c>
    </row>
    <row r="290" spans="1:20" ht="18.75" x14ac:dyDescent="0.25">
      <c r="A290" s="21" t="s">
        <v>429</v>
      </c>
      <c r="B290" s="21" t="s">
        <v>21</v>
      </c>
      <c r="C290" s="21" t="s">
        <v>62</v>
      </c>
      <c r="D290" s="21" t="s">
        <v>509</v>
      </c>
      <c r="E290" s="21" t="s">
        <v>70</v>
      </c>
      <c r="F290" s="34" t="s">
        <v>510</v>
      </c>
      <c r="G290" s="21" t="s">
        <v>511</v>
      </c>
      <c r="H290" s="21">
        <v>55</v>
      </c>
      <c r="I290" s="30" t="s">
        <v>1173</v>
      </c>
      <c r="J290" s="21" t="s">
        <v>1131</v>
      </c>
      <c r="K290" s="21" t="s">
        <v>1253</v>
      </c>
      <c r="L290" s="21"/>
      <c r="M290" s="42"/>
      <c r="N290" s="77"/>
      <c r="O290" s="80"/>
      <c r="P290" s="80"/>
      <c r="Q290" s="76">
        <f t="shared" si="29"/>
        <v>0</v>
      </c>
      <c r="R290" s="76">
        <f t="shared" si="30"/>
        <v>0</v>
      </c>
      <c r="S290" s="76">
        <f t="shared" si="31"/>
        <v>0</v>
      </c>
      <c r="T290" s="30" t="s">
        <v>1230</v>
      </c>
    </row>
    <row r="291" spans="1:20" ht="18.75" x14ac:dyDescent="0.25">
      <c r="A291" s="21" t="s">
        <v>429</v>
      </c>
      <c r="B291" s="21" t="s">
        <v>21</v>
      </c>
      <c r="C291" s="21" t="s">
        <v>62</v>
      </c>
      <c r="D291" s="21" t="s">
        <v>509</v>
      </c>
      <c r="E291" s="21" t="s">
        <v>70</v>
      </c>
      <c r="F291" s="34" t="s">
        <v>510</v>
      </c>
      <c r="G291" s="21" t="s">
        <v>511</v>
      </c>
      <c r="H291" s="21">
        <v>56</v>
      </c>
      <c r="I291" s="30" t="s">
        <v>1174</v>
      </c>
      <c r="J291" s="21" t="s">
        <v>1360</v>
      </c>
      <c r="K291" s="21" t="s">
        <v>1254</v>
      </c>
      <c r="L291" s="21"/>
      <c r="M291" s="42"/>
      <c r="N291" s="77"/>
      <c r="O291" s="80"/>
      <c r="P291" s="80"/>
      <c r="Q291" s="76">
        <f t="shared" si="29"/>
        <v>0</v>
      </c>
      <c r="R291" s="76">
        <f t="shared" si="30"/>
        <v>0</v>
      </c>
      <c r="S291" s="76">
        <f t="shared" si="31"/>
        <v>0</v>
      </c>
      <c r="T291" s="30" t="s">
        <v>1230</v>
      </c>
    </row>
    <row r="292" spans="1:20" ht="18.75" x14ac:dyDescent="0.25">
      <c r="A292" s="21" t="s">
        <v>429</v>
      </c>
      <c r="B292" s="21" t="s">
        <v>21</v>
      </c>
      <c r="C292" s="21" t="s">
        <v>62</v>
      </c>
      <c r="D292" s="21" t="s">
        <v>509</v>
      </c>
      <c r="E292" s="21" t="s">
        <v>70</v>
      </c>
      <c r="F292" s="34" t="s">
        <v>510</v>
      </c>
      <c r="G292" s="21" t="s">
        <v>511</v>
      </c>
      <c r="H292" s="21">
        <v>57</v>
      </c>
      <c r="I292" s="30" t="s">
        <v>1175</v>
      </c>
      <c r="J292" s="21" t="s">
        <v>1299</v>
      </c>
      <c r="K292" s="21" t="s">
        <v>1300</v>
      </c>
      <c r="L292" s="21"/>
      <c r="M292" s="42"/>
      <c r="N292" s="77"/>
      <c r="O292" s="80"/>
      <c r="P292" s="80"/>
      <c r="Q292" s="76">
        <f t="shared" si="29"/>
        <v>0</v>
      </c>
      <c r="R292" s="76">
        <f t="shared" si="30"/>
        <v>0</v>
      </c>
      <c r="S292" s="76">
        <f t="shared" si="31"/>
        <v>0</v>
      </c>
      <c r="T292" s="30" t="s">
        <v>1230</v>
      </c>
    </row>
    <row r="293" spans="1:20" ht="18.75" x14ac:dyDescent="0.25">
      <c r="A293" s="21" t="s">
        <v>429</v>
      </c>
      <c r="B293" s="21" t="s">
        <v>21</v>
      </c>
      <c r="C293" s="21" t="s">
        <v>62</v>
      </c>
      <c r="D293" s="21" t="s">
        <v>509</v>
      </c>
      <c r="E293" s="21" t="s">
        <v>70</v>
      </c>
      <c r="F293" s="34" t="s">
        <v>510</v>
      </c>
      <c r="G293" s="21" t="s">
        <v>511</v>
      </c>
      <c r="H293" s="21">
        <v>58</v>
      </c>
      <c r="I293" s="30" t="s">
        <v>1176</v>
      </c>
      <c r="J293" s="21" t="s">
        <v>1296</v>
      </c>
      <c r="K293" s="21" t="s">
        <v>1297</v>
      </c>
      <c r="L293" s="21"/>
      <c r="M293" s="42"/>
      <c r="N293" s="77"/>
      <c r="O293" s="80"/>
      <c r="P293" s="80"/>
      <c r="Q293" s="76">
        <f t="shared" si="29"/>
        <v>0</v>
      </c>
      <c r="R293" s="76">
        <f t="shared" si="30"/>
        <v>0</v>
      </c>
      <c r="S293" s="76">
        <f t="shared" si="31"/>
        <v>0</v>
      </c>
      <c r="T293" s="30" t="s">
        <v>1230</v>
      </c>
    </row>
    <row r="294" spans="1:20" ht="18.75" x14ac:dyDescent="0.25">
      <c r="A294" s="21" t="s">
        <v>429</v>
      </c>
      <c r="B294" s="21" t="s">
        <v>21</v>
      </c>
      <c r="C294" s="21" t="s">
        <v>62</v>
      </c>
      <c r="D294" s="21" t="s">
        <v>509</v>
      </c>
      <c r="E294" s="21" t="s">
        <v>70</v>
      </c>
      <c r="F294" s="34" t="s">
        <v>510</v>
      </c>
      <c r="G294" s="21" t="s">
        <v>511</v>
      </c>
      <c r="H294" s="21">
        <v>59</v>
      </c>
      <c r="I294" s="30" t="s">
        <v>1177</v>
      </c>
      <c r="J294" s="21" t="s">
        <v>1346</v>
      </c>
      <c r="K294" s="21" t="s">
        <v>1347</v>
      </c>
      <c r="L294" s="21"/>
      <c r="M294" s="42"/>
      <c r="N294" s="77"/>
      <c r="O294" s="80"/>
      <c r="P294" s="80"/>
      <c r="Q294" s="76">
        <f t="shared" si="29"/>
        <v>0</v>
      </c>
      <c r="R294" s="76">
        <f t="shared" si="30"/>
        <v>0</v>
      </c>
      <c r="S294" s="76">
        <f t="shared" si="31"/>
        <v>0</v>
      </c>
      <c r="T294" s="30" t="s">
        <v>1230</v>
      </c>
    </row>
    <row r="295" spans="1:20" ht="18.75" x14ac:dyDescent="0.25">
      <c r="A295" s="21" t="s">
        <v>429</v>
      </c>
      <c r="B295" s="21" t="s">
        <v>21</v>
      </c>
      <c r="C295" s="21" t="s">
        <v>62</v>
      </c>
      <c r="D295" s="21" t="s">
        <v>509</v>
      </c>
      <c r="E295" s="21" t="s">
        <v>70</v>
      </c>
      <c r="F295" s="34" t="s">
        <v>510</v>
      </c>
      <c r="G295" s="21" t="s">
        <v>511</v>
      </c>
      <c r="H295" s="21">
        <v>60</v>
      </c>
      <c r="I295" s="30" t="s">
        <v>1178</v>
      </c>
      <c r="J295" s="21" t="s">
        <v>1328</v>
      </c>
      <c r="K295" s="21" t="s">
        <v>1329</v>
      </c>
      <c r="L295" s="21"/>
      <c r="M295" s="42"/>
      <c r="N295" s="77"/>
      <c r="O295" s="80"/>
      <c r="P295" s="80"/>
      <c r="Q295" s="76">
        <f t="shared" si="29"/>
        <v>0</v>
      </c>
      <c r="R295" s="76">
        <f t="shared" si="30"/>
        <v>0</v>
      </c>
      <c r="S295" s="76">
        <f t="shared" si="31"/>
        <v>0</v>
      </c>
      <c r="T295" s="30" t="s">
        <v>1230</v>
      </c>
    </row>
    <row r="296" spans="1:20" ht="18.75" x14ac:dyDescent="0.25">
      <c r="A296" s="21" t="s">
        <v>429</v>
      </c>
      <c r="B296" s="21" t="s">
        <v>21</v>
      </c>
      <c r="C296" s="21" t="s">
        <v>62</v>
      </c>
      <c r="D296" s="21" t="s">
        <v>509</v>
      </c>
      <c r="E296" s="21" t="s">
        <v>70</v>
      </c>
      <c r="F296" s="34" t="s">
        <v>510</v>
      </c>
      <c r="G296" s="21" t="s">
        <v>511</v>
      </c>
      <c r="H296" s="21">
        <v>61</v>
      </c>
      <c r="I296" s="30" t="s">
        <v>1179</v>
      </c>
      <c r="J296" s="21" t="s">
        <v>1132</v>
      </c>
      <c r="K296" s="21" t="s">
        <v>1255</v>
      </c>
      <c r="L296" s="21"/>
      <c r="M296" s="42"/>
      <c r="N296" s="77"/>
      <c r="O296" s="80"/>
      <c r="P296" s="80"/>
      <c r="Q296" s="76">
        <f t="shared" si="29"/>
        <v>0</v>
      </c>
      <c r="R296" s="76">
        <f t="shared" si="30"/>
        <v>0</v>
      </c>
      <c r="S296" s="76">
        <f t="shared" si="31"/>
        <v>0</v>
      </c>
      <c r="T296" s="30" t="s">
        <v>1230</v>
      </c>
    </row>
    <row r="297" spans="1:20" ht="18.75" x14ac:dyDescent="0.25">
      <c r="A297" s="21" t="s">
        <v>429</v>
      </c>
      <c r="B297" s="21" t="s">
        <v>21</v>
      </c>
      <c r="C297" s="21" t="s">
        <v>62</v>
      </c>
      <c r="D297" s="21" t="s">
        <v>509</v>
      </c>
      <c r="E297" s="21" t="s">
        <v>70</v>
      </c>
      <c r="F297" s="34" t="s">
        <v>510</v>
      </c>
      <c r="G297" s="21" t="s">
        <v>511</v>
      </c>
      <c r="H297" s="21">
        <v>62</v>
      </c>
      <c r="I297" s="30" t="s">
        <v>1180</v>
      </c>
      <c r="J297" s="21" t="s">
        <v>1133</v>
      </c>
      <c r="K297" s="21" t="s">
        <v>1256</v>
      </c>
      <c r="L297" s="21"/>
      <c r="M297" s="42"/>
      <c r="N297" s="77"/>
      <c r="O297" s="80"/>
      <c r="P297" s="80"/>
      <c r="Q297" s="76">
        <f t="shared" si="29"/>
        <v>0</v>
      </c>
      <c r="R297" s="76">
        <f t="shared" si="30"/>
        <v>0</v>
      </c>
      <c r="S297" s="76">
        <f t="shared" si="31"/>
        <v>0</v>
      </c>
      <c r="T297" s="30" t="s">
        <v>1230</v>
      </c>
    </row>
    <row r="298" spans="1:20" ht="18.75" x14ac:dyDescent="0.25">
      <c r="A298" s="21" t="s">
        <v>429</v>
      </c>
      <c r="B298" s="21" t="s">
        <v>21</v>
      </c>
      <c r="C298" s="21" t="s">
        <v>62</v>
      </c>
      <c r="D298" s="21" t="s">
        <v>509</v>
      </c>
      <c r="E298" s="21" t="s">
        <v>70</v>
      </c>
      <c r="F298" s="34" t="s">
        <v>510</v>
      </c>
      <c r="G298" s="21" t="s">
        <v>511</v>
      </c>
      <c r="H298" s="21">
        <v>63</v>
      </c>
      <c r="I298" s="30" t="s">
        <v>1181</v>
      </c>
      <c r="J298" s="21" t="s">
        <v>1134</v>
      </c>
      <c r="K298" s="21" t="s">
        <v>1257</v>
      </c>
      <c r="L298" s="21"/>
      <c r="M298" s="42"/>
      <c r="N298" s="77"/>
      <c r="O298" s="80"/>
      <c r="P298" s="80"/>
      <c r="Q298" s="76">
        <f t="shared" si="29"/>
        <v>0</v>
      </c>
      <c r="R298" s="76">
        <f t="shared" si="30"/>
        <v>0</v>
      </c>
      <c r="S298" s="76">
        <f t="shared" si="31"/>
        <v>0</v>
      </c>
      <c r="T298" s="30" t="s">
        <v>1230</v>
      </c>
    </row>
    <row r="299" spans="1:20" ht="18.75" x14ac:dyDescent="0.25">
      <c r="A299" s="21" t="s">
        <v>429</v>
      </c>
      <c r="B299" s="21" t="s">
        <v>21</v>
      </c>
      <c r="C299" s="21" t="s">
        <v>62</v>
      </c>
      <c r="D299" s="21" t="s">
        <v>509</v>
      </c>
      <c r="E299" s="21" t="s">
        <v>70</v>
      </c>
      <c r="F299" s="34" t="s">
        <v>510</v>
      </c>
      <c r="G299" s="21" t="s">
        <v>511</v>
      </c>
      <c r="H299" s="21">
        <v>64</v>
      </c>
      <c r="I299" s="30" t="s">
        <v>1182</v>
      </c>
      <c r="J299" s="21" t="s">
        <v>1258</v>
      </c>
      <c r="K299" s="21" t="s">
        <v>1259</v>
      </c>
      <c r="L299" s="21"/>
      <c r="M299" s="42"/>
      <c r="N299" s="77"/>
      <c r="O299" s="80"/>
      <c r="P299" s="80"/>
      <c r="Q299" s="76">
        <f t="shared" si="29"/>
        <v>0</v>
      </c>
      <c r="R299" s="76">
        <f t="shared" si="30"/>
        <v>0</v>
      </c>
      <c r="S299" s="76">
        <f t="shared" si="31"/>
        <v>0</v>
      </c>
      <c r="T299" s="30" t="s">
        <v>1230</v>
      </c>
    </row>
    <row r="300" spans="1:20" ht="18.75" x14ac:dyDescent="0.25">
      <c r="A300" s="21" t="s">
        <v>429</v>
      </c>
      <c r="B300" s="21" t="s">
        <v>21</v>
      </c>
      <c r="C300" s="21" t="s">
        <v>62</v>
      </c>
      <c r="D300" s="21" t="s">
        <v>509</v>
      </c>
      <c r="E300" s="21" t="s">
        <v>70</v>
      </c>
      <c r="F300" s="34" t="s">
        <v>510</v>
      </c>
      <c r="G300" s="21" t="s">
        <v>511</v>
      </c>
      <c r="H300" s="21">
        <v>65</v>
      </c>
      <c r="I300" s="30" t="s">
        <v>1183</v>
      </c>
      <c r="J300" s="21" t="s">
        <v>1260</v>
      </c>
      <c r="K300" s="21" t="s">
        <v>1261</v>
      </c>
      <c r="L300" s="21"/>
      <c r="M300" s="42"/>
      <c r="N300" s="77"/>
      <c r="O300" s="80"/>
      <c r="P300" s="80"/>
      <c r="Q300" s="76">
        <f t="shared" si="29"/>
        <v>0</v>
      </c>
      <c r="R300" s="76">
        <f t="shared" si="30"/>
        <v>0</v>
      </c>
      <c r="S300" s="76">
        <f t="shared" si="31"/>
        <v>0</v>
      </c>
      <c r="T300" s="30" t="s">
        <v>1230</v>
      </c>
    </row>
    <row r="301" spans="1:20" ht="18.75" x14ac:dyDescent="0.25">
      <c r="A301" s="21" t="s">
        <v>429</v>
      </c>
      <c r="B301" s="21" t="s">
        <v>21</v>
      </c>
      <c r="C301" s="21" t="s">
        <v>62</v>
      </c>
      <c r="D301" s="21" t="s">
        <v>509</v>
      </c>
      <c r="E301" s="21" t="s">
        <v>70</v>
      </c>
      <c r="F301" s="34" t="s">
        <v>510</v>
      </c>
      <c r="G301" s="21" t="s">
        <v>511</v>
      </c>
      <c r="H301" s="21">
        <v>66</v>
      </c>
      <c r="I301" s="30" t="s">
        <v>1184</v>
      </c>
      <c r="J301" s="21" t="s">
        <v>1262</v>
      </c>
      <c r="K301" s="21" t="s">
        <v>1263</v>
      </c>
      <c r="L301" s="21"/>
      <c r="M301" s="42"/>
      <c r="N301" s="77"/>
      <c r="O301" s="80"/>
      <c r="P301" s="80"/>
      <c r="Q301" s="76">
        <f t="shared" si="29"/>
        <v>0</v>
      </c>
      <c r="R301" s="76">
        <f t="shared" si="30"/>
        <v>0</v>
      </c>
      <c r="S301" s="76">
        <f t="shared" si="31"/>
        <v>0</v>
      </c>
      <c r="T301" s="30" t="s">
        <v>1230</v>
      </c>
    </row>
    <row r="302" spans="1:20" ht="18.75" x14ac:dyDescent="0.25">
      <c r="A302" s="21" t="s">
        <v>429</v>
      </c>
      <c r="B302" s="21" t="s">
        <v>21</v>
      </c>
      <c r="C302" s="21" t="s">
        <v>62</v>
      </c>
      <c r="D302" s="21" t="s">
        <v>509</v>
      </c>
      <c r="E302" s="21" t="s">
        <v>70</v>
      </c>
      <c r="F302" s="34" t="s">
        <v>510</v>
      </c>
      <c r="G302" s="21" t="s">
        <v>511</v>
      </c>
      <c r="H302" s="21">
        <v>67</v>
      </c>
      <c r="I302" s="30" t="s">
        <v>1185</v>
      </c>
      <c r="J302" s="21" t="s">
        <v>1264</v>
      </c>
      <c r="K302" s="21" t="s">
        <v>1265</v>
      </c>
      <c r="L302" s="21"/>
      <c r="M302" s="42"/>
      <c r="N302" s="77"/>
      <c r="O302" s="80"/>
      <c r="P302" s="80"/>
      <c r="Q302" s="76">
        <f t="shared" si="29"/>
        <v>0</v>
      </c>
      <c r="R302" s="76">
        <f t="shared" si="30"/>
        <v>0</v>
      </c>
      <c r="S302" s="76">
        <f t="shared" si="31"/>
        <v>0</v>
      </c>
      <c r="T302" s="30" t="s">
        <v>1230</v>
      </c>
    </row>
    <row r="303" spans="1:20" ht="18.75" x14ac:dyDescent="0.25">
      <c r="A303" s="21" t="s">
        <v>429</v>
      </c>
      <c r="B303" s="21" t="s">
        <v>21</v>
      </c>
      <c r="C303" s="21" t="s">
        <v>62</v>
      </c>
      <c r="D303" s="21" t="s">
        <v>509</v>
      </c>
      <c r="E303" s="21" t="s">
        <v>70</v>
      </c>
      <c r="F303" s="34" t="s">
        <v>510</v>
      </c>
      <c r="G303" s="21" t="s">
        <v>511</v>
      </c>
      <c r="H303" s="21">
        <v>68</v>
      </c>
      <c r="I303" s="30" t="s">
        <v>1186</v>
      </c>
      <c r="J303" s="21" t="s">
        <v>1266</v>
      </c>
      <c r="K303" s="21" t="s">
        <v>1267</v>
      </c>
      <c r="L303" s="21"/>
      <c r="M303" s="42"/>
      <c r="N303" s="77"/>
      <c r="O303" s="80"/>
      <c r="P303" s="80"/>
      <c r="Q303" s="76">
        <f t="shared" si="29"/>
        <v>0</v>
      </c>
      <c r="R303" s="76">
        <f t="shared" si="30"/>
        <v>0</v>
      </c>
      <c r="S303" s="76">
        <f t="shared" si="31"/>
        <v>0</v>
      </c>
      <c r="T303" s="30" t="s">
        <v>1230</v>
      </c>
    </row>
    <row r="304" spans="1:20" ht="18.75" x14ac:dyDescent="0.25">
      <c r="A304" s="21" t="s">
        <v>429</v>
      </c>
      <c r="B304" s="21" t="s">
        <v>21</v>
      </c>
      <c r="C304" s="21" t="s">
        <v>62</v>
      </c>
      <c r="D304" s="21" t="s">
        <v>509</v>
      </c>
      <c r="E304" s="21" t="s">
        <v>70</v>
      </c>
      <c r="F304" s="34" t="s">
        <v>510</v>
      </c>
      <c r="G304" s="21" t="s">
        <v>511</v>
      </c>
      <c r="H304" s="21">
        <v>69</v>
      </c>
      <c r="I304" s="30" t="s">
        <v>1187</v>
      </c>
      <c r="J304" s="21" t="s">
        <v>1268</v>
      </c>
      <c r="K304" s="21" t="s">
        <v>1269</v>
      </c>
      <c r="L304" s="21"/>
      <c r="M304" s="42"/>
      <c r="N304" s="77"/>
      <c r="O304" s="80"/>
      <c r="P304" s="80"/>
      <c r="Q304" s="76">
        <f t="shared" si="29"/>
        <v>0</v>
      </c>
      <c r="R304" s="76">
        <f t="shared" si="30"/>
        <v>0</v>
      </c>
      <c r="S304" s="76">
        <f t="shared" si="31"/>
        <v>0</v>
      </c>
      <c r="T304" s="30" t="s">
        <v>1230</v>
      </c>
    </row>
    <row r="305" spans="1:20" ht="18.75" x14ac:dyDescent="0.25">
      <c r="A305" s="21" t="s">
        <v>429</v>
      </c>
      <c r="B305" s="21" t="s">
        <v>21</v>
      </c>
      <c r="C305" s="21" t="s">
        <v>62</v>
      </c>
      <c r="D305" s="21" t="s">
        <v>509</v>
      </c>
      <c r="E305" s="21" t="s">
        <v>70</v>
      </c>
      <c r="F305" s="34" t="s">
        <v>510</v>
      </c>
      <c r="G305" s="21" t="s">
        <v>511</v>
      </c>
      <c r="H305" s="21">
        <v>70</v>
      </c>
      <c r="I305" s="30" t="s">
        <v>1188</v>
      </c>
      <c r="J305" s="21" t="s">
        <v>1135</v>
      </c>
      <c r="K305" s="21" t="s">
        <v>1270</v>
      </c>
      <c r="L305" s="21"/>
      <c r="M305" s="42"/>
      <c r="N305" s="77"/>
      <c r="O305" s="80"/>
      <c r="P305" s="80"/>
      <c r="Q305" s="76">
        <f t="shared" si="29"/>
        <v>0</v>
      </c>
      <c r="R305" s="76">
        <f t="shared" si="30"/>
        <v>0</v>
      </c>
      <c r="S305" s="76">
        <f t="shared" si="31"/>
        <v>0</v>
      </c>
      <c r="T305" s="30" t="s">
        <v>1230</v>
      </c>
    </row>
    <row r="306" spans="1:20" ht="18.75" x14ac:dyDescent="0.25">
      <c r="A306" s="21" t="s">
        <v>429</v>
      </c>
      <c r="B306" s="21" t="s">
        <v>21</v>
      </c>
      <c r="C306" s="21" t="s">
        <v>62</v>
      </c>
      <c r="D306" s="21" t="s">
        <v>509</v>
      </c>
      <c r="E306" s="21" t="s">
        <v>70</v>
      </c>
      <c r="F306" s="34" t="s">
        <v>510</v>
      </c>
      <c r="G306" s="21" t="s">
        <v>511</v>
      </c>
      <c r="H306" s="21">
        <v>71</v>
      </c>
      <c r="I306" s="30" t="s">
        <v>1189</v>
      </c>
      <c r="J306" s="21" t="s">
        <v>1136</v>
      </c>
      <c r="K306" s="21" t="s">
        <v>1271</v>
      </c>
      <c r="L306" s="21"/>
      <c r="M306" s="42"/>
      <c r="N306" s="77"/>
      <c r="O306" s="80"/>
      <c r="P306" s="80"/>
      <c r="Q306" s="76">
        <f t="shared" si="29"/>
        <v>0</v>
      </c>
      <c r="R306" s="76">
        <f t="shared" si="30"/>
        <v>0</v>
      </c>
      <c r="S306" s="76">
        <f t="shared" si="31"/>
        <v>0</v>
      </c>
      <c r="T306" s="30" t="s">
        <v>1230</v>
      </c>
    </row>
    <row r="307" spans="1:20" ht="18.75" x14ac:dyDescent="0.25">
      <c r="A307" s="21" t="s">
        <v>429</v>
      </c>
      <c r="B307" s="21" t="s">
        <v>21</v>
      </c>
      <c r="C307" s="21" t="s">
        <v>62</v>
      </c>
      <c r="D307" s="21" t="s">
        <v>509</v>
      </c>
      <c r="E307" s="21" t="s">
        <v>70</v>
      </c>
      <c r="F307" s="34" t="s">
        <v>510</v>
      </c>
      <c r="G307" s="21" t="s">
        <v>511</v>
      </c>
      <c r="H307" s="21">
        <v>72</v>
      </c>
      <c r="I307" s="30" t="s">
        <v>1190</v>
      </c>
      <c r="J307" s="21" t="s">
        <v>1137</v>
      </c>
      <c r="K307" s="21" t="s">
        <v>1272</v>
      </c>
      <c r="L307" s="21"/>
      <c r="M307" s="42"/>
      <c r="N307" s="77"/>
      <c r="O307" s="80"/>
      <c r="P307" s="80"/>
      <c r="Q307" s="76">
        <f t="shared" si="29"/>
        <v>0</v>
      </c>
      <c r="R307" s="76">
        <f t="shared" si="30"/>
        <v>0</v>
      </c>
      <c r="S307" s="76">
        <f t="shared" si="31"/>
        <v>0</v>
      </c>
      <c r="T307" s="30" t="s">
        <v>1230</v>
      </c>
    </row>
    <row r="308" spans="1:20" ht="18.75" x14ac:dyDescent="0.25">
      <c r="A308" s="21" t="s">
        <v>429</v>
      </c>
      <c r="B308" s="21" t="s">
        <v>21</v>
      </c>
      <c r="C308" s="21" t="s">
        <v>62</v>
      </c>
      <c r="D308" s="21" t="s">
        <v>509</v>
      </c>
      <c r="E308" s="21" t="s">
        <v>70</v>
      </c>
      <c r="F308" s="34" t="s">
        <v>510</v>
      </c>
      <c r="G308" s="21" t="s">
        <v>511</v>
      </c>
      <c r="H308" s="21">
        <v>73</v>
      </c>
      <c r="I308" s="30" t="s">
        <v>1191</v>
      </c>
      <c r="J308" s="21" t="s">
        <v>1138</v>
      </c>
      <c r="K308" s="21" t="s">
        <v>1273</v>
      </c>
      <c r="L308" s="21"/>
      <c r="M308" s="42"/>
      <c r="N308" s="77"/>
      <c r="O308" s="80"/>
      <c r="P308" s="80"/>
      <c r="Q308" s="76">
        <f t="shared" si="29"/>
        <v>0</v>
      </c>
      <c r="R308" s="76">
        <f t="shared" si="30"/>
        <v>0</v>
      </c>
      <c r="S308" s="76">
        <f t="shared" si="31"/>
        <v>0</v>
      </c>
      <c r="T308" s="30" t="s">
        <v>1230</v>
      </c>
    </row>
    <row r="309" spans="1:20" ht="18.75" x14ac:dyDescent="0.25">
      <c r="A309" s="21" t="s">
        <v>429</v>
      </c>
      <c r="B309" s="21" t="s">
        <v>21</v>
      </c>
      <c r="C309" s="21" t="s">
        <v>62</v>
      </c>
      <c r="D309" s="21" t="s">
        <v>509</v>
      </c>
      <c r="E309" s="21" t="s">
        <v>70</v>
      </c>
      <c r="F309" s="34" t="s">
        <v>510</v>
      </c>
      <c r="G309" s="21" t="s">
        <v>511</v>
      </c>
      <c r="H309" s="21">
        <v>74</v>
      </c>
      <c r="I309" s="30" t="s">
        <v>1192</v>
      </c>
      <c r="J309" s="21" t="s">
        <v>1139</v>
      </c>
      <c r="K309" s="21" t="s">
        <v>1274</v>
      </c>
      <c r="L309" s="21"/>
      <c r="M309" s="42"/>
      <c r="N309" s="77"/>
      <c r="O309" s="80"/>
      <c r="P309" s="80"/>
      <c r="Q309" s="76">
        <f t="shared" si="29"/>
        <v>0</v>
      </c>
      <c r="R309" s="76">
        <f t="shared" si="30"/>
        <v>0</v>
      </c>
      <c r="S309" s="76">
        <f t="shared" si="31"/>
        <v>0</v>
      </c>
      <c r="T309" s="30" t="s">
        <v>1230</v>
      </c>
    </row>
    <row r="310" spans="1:20" ht="18.75" x14ac:dyDescent="0.25">
      <c r="A310" s="21" t="s">
        <v>429</v>
      </c>
      <c r="B310" s="21" t="s">
        <v>21</v>
      </c>
      <c r="C310" s="21" t="s">
        <v>62</v>
      </c>
      <c r="D310" s="21" t="s">
        <v>509</v>
      </c>
      <c r="E310" s="21" t="s">
        <v>70</v>
      </c>
      <c r="F310" s="34" t="s">
        <v>510</v>
      </c>
      <c r="G310" s="21" t="s">
        <v>511</v>
      </c>
      <c r="H310" s="21">
        <v>75</v>
      </c>
      <c r="I310" s="30" t="s">
        <v>1193</v>
      </c>
      <c r="J310" s="21" t="s">
        <v>1140</v>
      </c>
      <c r="K310" s="21" t="s">
        <v>1275</v>
      </c>
      <c r="L310" s="21"/>
      <c r="M310" s="42"/>
      <c r="N310" s="77"/>
      <c r="O310" s="80"/>
      <c r="P310" s="80"/>
      <c r="Q310" s="76">
        <f t="shared" si="29"/>
        <v>0</v>
      </c>
      <c r="R310" s="76">
        <f t="shared" si="30"/>
        <v>0</v>
      </c>
      <c r="S310" s="76">
        <f t="shared" si="31"/>
        <v>0</v>
      </c>
      <c r="T310" s="30" t="s">
        <v>1230</v>
      </c>
    </row>
    <row r="311" spans="1:20" ht="18.75" x14ac:dyDescent="0.25">
      <c r="A311" s="21" t="s">
        <v>429</v>
      </c>
      <c r="B311" s="21" t="s">
        <v>21</v>
      </c>
      <c r="C311" s="21" t="s">
        <v>62</v>
      </c>
      <c r="D311" s="21" t="s">
        <v>509</v>
      </c>
      <c r="E311" s="21" t="s">
        <v>70</v>
      </c>
      <c r="F311" s="34" t="s">
        <v>510</v>
      </c>
      <c r="G311" s="21" t="s">
        <v>511</v>
      </c>
      <c r="H311" s="21">
        <v>76</v>
      </c>
      <c r="I311" s="30" t="s">
        <v>1194</v>
      </c>
      <c r="J311" s="21" t="s">
        <v>1141</v>
      </c>
      <c r="K311" s="21" t="s">
        <v>1276</v>
      </c>
      <c r="L311" s="21"/>
      <c r="M311" s="42"/>
      <c r="N311" s="77"/>
      <c r="O311" s="80"/>
      <c r="P311" s="80"/>
      <c r="Q311" s="76">
        <f t="shared" si="29"/>
        <v>0</v>
      </c>
      <c r="R311" s="76">
        <f t="shared" si="30"/>
        <v>0</v>
      </c>
      <c r="S311" s="76">
        <f t="shared" si="31"/>
        <v>0</v>
      </c>
      <c r="T311" s="30" t="s">
        <v>1230</v>
      </c>
    </row>
    <row r="312" spans="1:20" ht="18.75" x14ac:dyDescent="0.25">
      <c r="A312" s="21" t="s">
        <v>429</v>
      </c>
      <c r="B312" s="21" t="s">
        <v>21</v>
      </c>
      <c r="C312" s="21" t="s">
        <v>62</v>
      </c>
      <c r="D312" s="21" t="s">
        <v>509</v>
      </c>
      <c r="E312" s="21" t="s">
        <v>70</v>
      </c>
      <c r="F312" s="34" t="s">
        <v>510</v>
      </c>
      <c r="G312" s="21" t="s">
        <v>511</v>
      </c>
      <c r="H312" s="21">
        <v>77</v>
      </c>
      <c r="I312" s="30" t="s">
        <v>1195</v>
      </c>
      <c r="J312" s="21" t="s">
        <v>1142</v>
      </c>
      <c r="K312" s="21" t="s">
        <v>1277</v>
      </c>
      <c r="L312" s="21"/>
      <c r="M312" s="42"/>
      <c r="N312" s="77"/>
      <c r="O312" s="80"/>
      <c r="P312" s="80"/>
      <c r="Q312" s="76">
        <f t="shared" si="29"/>
        <v>0</v>
      </c>
      <c r="R312" s="76">
        <f t="shared" si="30"/>
        <v>0</v>
      </c>
      <c r="S312" s="76">
        <f t="shared" si="31"/>
        <v>0</v>
      </c>
      <c r="T312" s="30" t="s">
        <v>1230</v>
      </c>
    </row>
    <row r="313" spans="1:20" ht="18.75" x14ac:dyDescent="0.25">
      <c r="A313" s="21" t="s">
        <v>429</v>
      </c>
      <c r="B313" s="21" t="s">
        <v>21</v>
      </c>
      <c r="C313" s="21" t="s">
        <v>62</v>
      </c>
      <c r="D313" s="21" t="s">
        <v>509</v>
      </c>
      <c r="E313" s="21" t="s">
        <v>70</v>
      </c>
      <c r="F313" s="34" t="s">
        <v>510</v>
      </c>
      <c r="G313" s="21" t="s">
        <v>511</v>
      </c>
      <c r="H313" s="21">
        <v>78</v>
      </c>
      <c r="I313" s="30" t="s">
        <v>1196</v>
      </c>
      <c r="J313" s="21" t="s">
        <v>1143</v>
      </c>
      <c r="K313" s="21" t="s">
        <v>1278</v>
      </c>
      <c r="L313" s="21"/>
      <c r="M313" s="42"/>
      <c r="N313" s="77"/>
      <c r="O313" s="80"/>
      <c r="P313" s="80"/>
      <c r="Q313" s="76">
        <f t="shared" si="29"/>
        <v>0</v>
      </c>
      <c r="R313" s="76">
        <f t="shared" si="30"/>
        <v>0</v>
      </c>
      <c r="S313" s="76">
        <f t="shared" si="31"/>
        <v>0</v>
      </c>
      <c r="T313" s="30" t="s">
        <v>1230</v>
      </c>
    </row>
    <row r="314" spans="1:20" ht="18.75" x14ac:dyDescent="0.25">
      <c r="A314" s="21" t="s">
        <v>429</v>
      </c>
      <c r="B314" s="21" t="s">
        <v>21</v>
      </c>
      <c r="C314" s="21" t="s">
        <v>62</v>
      </c>
      <c r="D314" s="21" t="s">
        <v>509</v>
      </c>
      <c r="E314" s="21" t="s">
        <v>70</v>
      </c>
      <c r="F314" s="34" t="s">
        <v>510</v>
      </c>
      <c r="G314" s="21" t="s">
        <v>511</v>
      </c>
      <c r="H314" s="21">
        <v>79</v>
      </c>
      <c r="I314" s="30" t="s">
        <v>1197</v>
      </c>
      <c r="J314" s="21" t="s">
        <v>1144</v>
      </c>
      <c r="K314" s="21" t="s">
        <v>1279</v>
      </c>
      <c r="L314" s="21"/>
      <c r="M314" s="42"/>
      <c r="N314" s="77"/>
      <c r="O314" s="80"/>
      <c r="P314" s="80"/>
      <c r="Q314" s="76">
        <f t="shared" si="29"/>
        <v>0</v>
      </c>
      <c r="R314" s="76">
        <f t="shared" si="30"/>
        <v>0</v>
      </c>
      <c r="S314" s="76">
        <f t="shared" si="31"/>
        <v>0</v>
      </c>
      <c r="T314" s="30" t="s">
        <v>1230</v>
      </c>
    </row>
    <row r="315" spans="1:20" ht="18.75" x14ac:dyDescent="0.25">
      <c r="A315" s="21" t="s">
        <v>429</v>
      </c>
      <c r="B315" s="21" t="s">
        <v>21</v>
      </c>
      <c r="C315" s="21" t="s">
        <v>62</v>
      </c>
      <c r="D315" s="21" t="s">
        <v>509</v>
      </c>
      <c r="E315" s="21" t="s">
        <v>70</v>
      </c>
      <c r="F315" s="34" t="s">
        <v>510</v>
      </c>
      <c r="G315" s="21" t="s">
        <v>511</v>
      </c>
      <c r="H315" s="21">
        <v>80</v>
      </c>
      <c r="I315" s="30" t="s">
        <v>1198</v>
      </c>
      <c r="J315" s="21" t="s">
        <v>1145</v>
      </c>
      <c r="K315" s="21" t="s">
        <v>1280</v>
      </c>
      <c r="L315" s="21"/>
      <c r="M315" s="42"/>
      <c r="N315" s="77"/>
      <c r="O315" s="80"/>
      <c r="P315" s="80"/>
      <c r="Q315" s="76">
        <f t="shared" ref="Q315:Q339" si="32">IF($H315=0,0,COUNTIF(I:I,I315)-1)</f>
        <v>0</v>
      </c>
      <c r="R315" s="76">
        <f t="shared" ref="R315:R339" si="33">IF($H315=0,0,COUNTIF(J:J,J315)-1)</f>
        <v>0</v>
      </c>
      <c r="S315" s="76">
        <f t="shared" ref="S315:S339" si="34">IF($H315=0,0,COUNTIF(K:K,K315)-1)</f>
        <v>0</v>
      </c>
      <c r="T315" s="30" t="s">
        <v>1230</v>
      </c>
    </row>
    <row r="316" spans="1:20" ht="18.75" x14ac:dyDescent="0.25">
      <c r="A316" s="21" t="s">
        <v>429</v>
      </c>
      <c r="B316" s="21" t="s">
        <v>21</v>
      </c>
      <c r="C316" s="21" t="s">
        <v>62</v>
      </c>
      <c r="D316" s="21" t="s">
        <v>509</v>
      </c>
      <c r="E316" s="21" t="s">
        <v>70</v>
      </c>
      <c r="F316" s="34" t="s">
        <v>510</v>
      </c>
      <c r="G316" s="21" t="s">
        <v>511</v>
      </c>
      <c r="H316" s="21">
        <v>81</v>
      </c>
      <c r="I316" s="30" t="s">
        <v>1199</v>
      </c>
      <c r="J316" s="21" t="s">
        <v>1146</v>
      </c>
      <c r="K316" s="21" t="s">
        <v>1281</v>
      </c>
      <c r="L316" s="21"/>
      <c r="M316" s="42"/>
      <c r="N316" s="77"/>
      <c r="O316" s="80"/>
      <c r="P316" s="80"/>
      <c r="Q316" s="76">
        <f t="shared" si="32"/>
        <v>0</v>
      </c>
      <c r="R316" s="76">
        <f t="shared" si="33"/>
        <v>0</v>
      </c>
      <c r="S316" s="76">
        <f t="shared" si="34"/>
        <v>0</v>
      </c>
      <c r="T316" s="30" t="s">
        <v>1230</v>
      </c>
    </row>
    <row r="317" spans="1:20" ht="18.75" x14ac:dyDescent="0.25">
      <c r="A317" s="21" t="s">
        <v>429</v>
      </c>
      <c r="B317" s="21" t="s">
        <v>21</v>
      </c>
      <c r="C317" s="21" t="s">
        <v>62</v>
      </c>
      <c r="D317" s="21" t="s">
        <v>509</v>
      </c>
      <c r="E317" s="21" t="s">
        <v>70</v>
      </c>
      <c r="F317" s="34" t="s">
        <v>510</v>
      </c>
      <c r="G317" s="21" t="s">
        <v>511</v>
      </c>
      <c r="H317" s="21">
        <v>82</v>
      </c>
      <c r="I317" s="30" t="s">
        <v>1200</v>
      </c>
      <c r="J317" s="21" t="s">
        <v>1147</v>
      </c>
      <c r="K317" s="21" t="s">
        <v>1282</v>
      </c>
      <c r="L317" s="21"/>
      <c r="M317" s="42"/>
      <c r="N317" s="77"/>
      <c r="O317" s="80"/>
      <c r="P317" s="80"/>
      <c r="Q317" s="76">
        <f t="shared" si="32"/>
        <v>0</v>
      </c>
      <c r="R317" s="76">
        <f t="shared" si="33"/>
        <v>0</v>
      </c>
      <c r="S317" s="76">
        <f t="shared" si="34"/>
        <v>0</v>
      </c>
      <c r="T317" s="30" t="s">
        <v>1230</v>
      </c>
    </row>
    <row r="318" spans="1:20" ht="18.75" x14ac:dyDescent="0.25">
      <c r="A318" s="21" t="s">
        <v>429</v>
      </c>
      <c r="B318" s="21" t="s">
        <v>21</v>
      </c>
      <c r="C318" s="21" t="s">
        <v>62</v>
      </c>
      <c r="D318" s="21" t="s">
        <v>509</v>
      </c>
      <c r="E318" s="21" t="s">
        <v>70</v>
      </c>
      <c r="F318" s="34" t="s">
        <v>510</v>
      </c>
      <c r="G318" s="21" t="s">
        <v>511</v>
      </c>
      <c r="H318" s="21">
        <v>83</v>
      </c>
      <c r="I318" s="30" t="s">
        <v>1201</v>
      </c>
      <c r="J318" s="21" t="s">
        <v>1148</v>
      </c>
      <c r="K318" s="21" t="s">
        <v>1283</v>
      </c>
      <c r="L318" s="21"/>
      <c r="M318" s="42"/>
      <c r="N318" s="77"/>
      <c r="O318" s="80"/>
      <c r="P318" s="80"/>
      <c r="Q318" s="76">
        <f t="shared" si="32"/>
        <v>0</v>
      </c>
      <c r="R318" s="76">
        <f t="shared" si="33"/>
        <v>0</v>
      </c>
      <c r="S318" s="76">
        <f t="shared" si="34"/>
        <v>0</v>
      </c>
      <c r="T318" s="30" t="s">
        <v>1230</v>
      </c>
    </row>
    <row r="319" spans="1:20" ht="18.75" x14ac:dyDescent="0.25">
      <c r="A319" s="21" t="s">
        <v>429</v>
      </c>
      <c r="B319" s="21" t="s">
        <v>21</v>
      </c>
      <c r="C319" s="21" t="s">
        <v>62</v>
      </c>
      <c r="D319" s="21" t="s">
        <v>509</v>
      </c>
      <c r="E319" s="21" t="s">
        <v>70</v>
      </c>
      <c r="F319" s="34" t="s">
        <v>510</v>
      </c>
      <c r="G319" s="21" t="s">
        <v>511</v>
      </c>
      <c r="H319" s="21">
        <v>84</v>
      </c>
      <c r="I319" s="30" t="s">
        <v>1202</v>
      </c>
      <c r="J319" s="21" t="s">
        <v>1149</v>
      </c>
      <c r="K319" s="21" t="s">
        <v>1284</v>
      </c>
      <c r="L319" s="21"/>
      <c r="M319" s="42"/>
      <c r="N319" s="77"/>
      <c r="O319" s="80"/>
      <c r="P319" s="80"/>
      <c r="Q319" s="76">
        <f t="shared" si="32"/>
        <v>0</v>
      </c>
      <c r="R319" s="76">
        <f t="shared" si="33"/>
        <v>0</v>
      </c>
      <c r="S319" s="76">
        <f t="shared" si="34"/>
        <v>0</v>
      </c>
      <c r="T319" s="30" t="s">
        <v>1230</v>
      </c>
    </row>
    <row r="320" spans="1:20" ht="18.75" x14ac:dyDescent="0.25">
      <c r="A320" s="21" t="s">
        <v>429</v>
      </c>
      <c r="B320" s="21" t="s">
        <v>21</v>
      </c>
      <c r="C320" s="21" t="s">
        <v>62</v>
      </c>
      <c r="D320" s="21" t="s">
        <v>509</v>
      </c>
      <c r="E320" s="21" t="s">
        <v>70</v>
      </c>
      <c r="F320" s="34" t="s">
        <v>510</v>
      </c>
      <c r="G320" s="21" t="s">
        <v>511</v>
      </c>
      <c r="H320" s="21">
        <v>85</v>
      </c>
      <c r="I320" s="30" t="s">
        <v>1203</v>
      </c>
      <c r="J320" s="21" t="s">
        <v>1150</v>
      </c>
      <c r="K320" s="21" t="s">
        <v>1285</v>
      </c>
      <c r="L320" s="21"/>
      <c r="M320" s="42"/>
      <c r="N320" s="77"/>
      <c r="O320" s="80"/>
      <c r="P320" s="80"/>
      <c r="Q320" s="76">
        <f t="shared" si="32"/>
        <v>0</v>
      </c>
      <c r="R320" s="76">
        <f t="shared" si="33"/>
        <v>0</v>
      </c>
      <c r="S320" s="76">
        <f t="shared" si="34"/>
        <v>0</v>
      </c>
      <c r="T320" s="30" t="s">
        <v>1230</v>
      </c>
    </row>
    <row r="321" spans="1:20" ht="18.75" x14ac:dyDescent="0.25">
      <c r="A321" s="21" t="s">
        <v>429</v>
      </c>
      <c r="B321" s="21" t="s">
        <v>21</v>
      </c>
      <c r="C321" s="21" t="s">
        <v>62</v>
      </c>
      <c r="D321" s="21" t="s">
        <v>509</v>
      </c>
      <c r="E321" s="21" t="s">
        <v>70</v>
      </c>
      <c r="F321" s="34" t="s">
        <v>510</v>
      </c>
      <c r="G321" s="21" t="s">
        <v>511</v>
      </c>
      <c r="H321" s="21">
        <v>86</v>
      </c>
      <c r="I321" s="30" t="s">
        <v>1204</v>
      </c>
      <c r="J321" s="21" t="s">
        <v>1151</v>
      </c>
      <c r="K321" s="21" t="s">
        <v>1286</v>
      </c>
      <c r="L321" s="21"/>
      <c r="M321" s="42"/>
      <c r="N321" s="77"/>
      <c r="O321" s="80"/>
      <c r="P321" s="80"/>
      <c r="Q321" s="76">
        <f t="shared" si="32"/>
        <v>0</v>
      </c>
      <c r="R321" s="76">
        <f t="shared" si="33"/>
        <v>0</v>
      </c>
      <c r="S321" s="76">
        <f t="shared" si="34"/>
        <v>0</v>
      </c>
      <c r="T321" s="30" t="s">
        <v>1230</v>
      </c>
    </row>
    <row r="322" spans="1:20" ht="18.75" x14ac:dyDescent="0.25">
      <c r="A322" s="21" t="s">
        <v>429</v>
      </c>
      <c r="B322" s="21" t="s">
        <v>21</v>
      </c>
      <c r="C322" s="21" t="s">
        <v>62</v>
      </c>
      <c r="D322" s="21" t="s">
        <v>509</v>
      </c>
      <c r="E322" s="21" t="s">
        <v>70</v>
      </c>
      <c r="F322" s="34" t="s">
        <v>510</v>
      </c>
      <c r="G322" s="21" t="s">
        <v>511</v>
      </c>
      <c r="H322" s="21">
        <v>87</v>
      </c>
      <c r="I322" s="30" t="s">
        <v>1205</v>
      </c>
      <c r="J322" s="21" t="s">
        <v>1152</v>
      </c>
      <c r="K322" s="21" t="s">
        <v>1287</v>
      </c>
      <c r="L322" s="21"/>
      <c r="M322" s="42"/>
      <c r="N322" s="77"/>
      <c r="O322" s="80"/>
      <c r="P322" s="80"/>
      <c r="Q322" s="76">
        <f t="shared" si="32"/>
        <v>0</v>
      </c>
      <c r="R322" s="76">
        <f t="shared" si="33"/>
        <v>0</v>
      </c>
      <c r="S322" s="76">
        <f t="shared" si="34"/>
        <v>0</v>
      </c>
      <c r="T322" s="30" t="s">
        <v>1230</v>
      </c>
    </row>
    <row r="323" spans="1:20" ht="18.75" x14ac:dyDescent="0.25">
      <c r="A323" s="21" t="s">
        <v>429</v>
      </c>
      <c r="B323" s="21" t="s">
        <v>21</v>
      </c>
      <c r="C323" s="21" t="s">
        <v>62</v>
      </c>
      <c r="D323" s="21" t="s">
        <v>509</v>
      </c>
      <c r="E323" s="21" t="s">
        <v>70</v>
      </c>
      <c r="F323" s="34" t="s">
        <v>510</v>
      </c>
      <c r="G323" s="21" t="s">
        <v>511</v>
      </c>
      <c r="H323" s="21">
        <v>88</v>
      </c>
      <c r="I323" s="30" t="s">
        <v>1206</v>
      </c>
      <c r="J323" s="21" t="s">
        <v>1153</v>
      </c>
      <c r="K323" s="21" t="s">
        <v>1288</v>
      </c>
      <c r="L323" s="21"/>
      <c r="M323" s="42"/>
      <c r="N323" s="77"/>
      <c r="O323" s="80"/>
      <c r="P323" s="80"/>
      <c r="Q323" s="76">
        <f t="shared" si="32"/>
        <v>0</v>
      </c>
      <c r="R323" s="76">
        <f t="shared" si="33"/>
        <v>0</v>
      </c>
      <c r="S323" s="76">
        <f t="shared" si="34"/>
        <v>0</v>
      </c>
      <c r="T323" s="30" t="s">
        <v>1230</v>
      </c>
    </row>
    <row r="324" spans="1:20" ht="18.75" x14ac:dyDescent="0.25">
      <c r="A324" s="21" t="s">
        <v>429</v>
      </c>
      <c r="B324" s="21" t="s">
        <v>21</v>
      </c>
      <c r="C324" s="21" t="s">
        <v>62</v>
      </c>
      <c r="D324" s="21" t="s">
        <v>509</v>
      </c>
      <c r="E324" s="21" t="s">
        <v>70</v>
      </c>
      <c r="F324" s="34" t="s">
        <v>510</v>
      </c>
      <c r="G324" s="21" t="s">
        <v>511</v>
      </c>
      <c r="H324" s="21">
        <v>89</v>
      </c>
      <c r="I324" s="30" t="s">
        <v>1207</v>
      </c>
      <c r="J324" s="21" t="s">
        <v>1154</v>
      </c>
      <c r="K324" s="21" t="s">
        <v>1289</v>
      </c>
      <c r="L324" s="21"/>
      <c r="M324" s="42"/>
      <c r="N324" s="77"/>
      <c r="O324" s="80"/>
      <c r="P324" s="80"/>
      <c r="Q324" s="76">
        <f t="shared" si="32"/>
        <v>0</v>
      </c>
      <c r="R324" s="76">
        <f t="shared" si="33"/>
        <v>0</v>
      </c>
      <c r="S324" s="76">
        <f t="shared" si="34"/>
        <v>0</v>
      </c>
      <c r="T324" s="30" t="s">
        <v>1230</v>
      </c>
    </row>
    <row r="325" spans="1:20" ht="30" x14ac:dyDescent="0.25">
      <c r="A325" s="21" t="s">
        <v>429</v>
      </c>
      <c r="B325" s="21" t="s">
        <v>21</v>
      </c>
      <c r="C325" s="21" t="s">
        <v>62</v>
      </c>
      <c r="D325" s="21" t="s">
        <v>509</v>
      </c>
      <c r="E325" s="21" t="s">
        <v>70</v>
      </c>
      <c r="F325" s="34" t="s">
        <v>510</v>
      </c>
      <c r="G325" s="21" t="s">
        <v>511</v>
      </c>
      <c r="H325" s="21">
        <v>90</v>
      </c>
      <c r="I325" s="30" t="s">
        <v>1208</v>
      </c>
      <c r="J325" s="21" t="s">
        <v>1390</v>
      </c>
      <c r="K325" s="21" t="s">
        <v>1391</v>
      </c>
      <c r="L325" s="21"/>
      <c r="M325" s="42"/>
      <c r="N325" s="77"/>
      <c r="O325" s="80"/>
      <c r="P325" s="80"/>
      <c r="Q325" s="76">
        <f t="shared" si="32"/>
        <v>0</v>
      </c>
      <c r="R325" s="76">
        <f t="shared" si="33"/>
        <v>0</v>
      </c>
      <c r="S325" s="76">
        <f t="shared" si="34"/>
        <v>0</v>
      </c>
      <c r="T325" s="30" t="s">
        <v>1230</v>
      </c>
    </row>
    <row r="326" spans="1:20" ht="30" x14ac:dyDescent="0.25">
      <c r="A326" s="21" t="s">
        <v>429</v>
      </c>
      <c r="B326" s="21" t="s">
        <v>21</v>
      </c>
      <c r="C326" s="21" t="s">
        <v>62</v>
      </c>
      <c r="D326" s="21" t="s">
        <v>509</v>
      </c>
      <c r="E326" s="21" t="s">
        <v>70</v>
      </c>
      <c r="F326" s="34" t="s">
        <v>510</v>
      </c>
      <c r="G326" s="21" t="s">
        <v>511</v>
      </c>
      <c r="H326" s="21">
        <v>91</v>
      </c>
      <c r="I326" s="30" t="s">
        <v>1209</v>
      </c>
      <c r="J326" s="21" t="s">
        <v>1394</v>
      </c>
      <c r="K326" s="21" t="s">
        <v>1395</v>
      </c>
      <c r="L326" s="21"/>
      <c r="M326" s="42"/>
      <c r="N326" s="77"/>
      <c r="O326" s="80"/>
      <c r="P326" s="80"/>
      <c r="Q326" s="76">
        <f t="shared" si="32"/>
        <v>0</v>
      </c>
      <c r="R326" s="76">
        <f t="shared" si="33"/>
        <v>0</v>
      </c>
      <c r="S326" s="76">
        <f t="shared" si="34"/>
        <v>0</v>
      </c>
      <c r="T326" s="30" t="s">
        <v>1230</v>
      </c>
    </row>
    <row r="327" spans="1:20" ht="18.75" x14ac:dyDescent="0.25">
      <c r="A327" s="21" t="s">
        <v>429</v>
      </c>
      <c r="B327" s="21" t="s">
        <v>21</v>
      </c>
      <c r="C327" s="21" t="s">
        <v>62</v>
      </c>
      <c r="D327" s="21" t="s">
        <v>509</v>
      </c>
      <c r="E327" s="21" t="s">
        <v>70</v>
      </c>
      <c r="F327" s="34" t="s">
        <v>510</v>
      </c>
      <c r="G327" s="21" t="s">
        <v>511</v>
      </c>
      <c r="H327" s="21">
        <v>92</v>
      </c>
      <c r="I327" s="30" t="s">
        <v>1210</v>
      </c>
      <c r="J327" s="21" t="s">
        <v>1290</v>
      </c>
      <c r="K327" s="21" t="s">
        <v>1291</v>
      </c>
      <c r="L327" s="21"/>
      <c r="M327" s="42"/>
      <c r="N327" s="77"/>
      <c r="O327" s="80"/>
      <c r="P327" s="80"/>
      <c r="Q327" s="76">
        <f t="shared" si="32"/>
        <v>0</v>
      </c>
      <c r="R327" s="76">
        <f t="shared" si="33"/>
        <v>0</v>
      </c>
      <c r="S327" s="76">
        <f t="shared" si="34"/>
        <v>0</v>
      </c>
      <c r="T327" s="30" t="s">
        <v>1230</v>
      </c>
    </row>
    <row r="328" spans="1:20" ht="18.75" x14ac:dyDescent="0.25">
      <c r="A328" s="21" t="s">
        <v>429</v>
      </c>
      <c r="B328" s="21" t="s">
        <v>21</v>
      </c>
      <c r="C328" s="21" t="s">
        <v>62</v>
      </c>
      <c r="D328" s="21" t="s">
        <v>509</v>
      </c>
      <c r="E328" s="21" t="s">
        <v>70</v>
      </c>
      <c r="F328" s="34" t="s">
        <v>510</v>
      </c>
      <c r="G328" s="21" t="s">
        <v>511</v>
      </c>
      <c r="H328" s="21">
        <v>93</v>
      </c>
      <c r="I328" s="30" t="s">
        <v>1211</v>
      </c>
      <c r="J328" s="21" t="s">
        <v>1292</v>
      </c>
      <c r="K328" s="21" t="s">
        <v>1293</v>
      </c>
      <c r="L328" s="21"/>
      <c r="M328" s="42"/>
      <c r="N328" s="77"/>
      <c r="O328" s="80"/>
      <c r="P328" s="80"/>
      <c r="Q328" s="76">
        <f t="shared" si="32"/>
        <v>0</v>
      </c>
      <c r="R328" s="76">
        <f t="shared" si="33"/>
        <v>0</v>
      </c>
      <c r="S328" s="76">
        <f t="shared" si="34"/>
        <v>0</v>
      </c>
      <c r="T328" s="30" t="s">
        <v>1230</v>
      </c>
    </row>
    <row r="329" spans="1:20" ht="18.75" x14ac:dyDescent="0.25">
      <c r="A329" s="21" t="s">
        <v>429</v>
      </c>
      <c r="B329" s="21" t="s">
        <v>21</v>
      </c>
      <c r="C329" s="21" t="s">
        <v>62</v>
      </c>
      <c r="D329" s="21" t="s">
        <v>509</v>
      </c>
      <c r="E329" s="21" t="s">
        <v>70</v>
      </c>
      <c r="F329" s="34" t="s">
        <v>510</v>
      </c>
      <c r="G329" s="21" t="s">
        <v>511</v>
      </c>
      <c r="H329" s="21" t="s">
        <v>1477</v>
      </c>
      <c r="I329" s="30" t="s">
        <v>1218</v>
      </c>
      <c r="J329" s="21" t="s">
        <v>1455</v>
      </c>
      <c r="K329" s="21" t="s">
        <v>1298</v>
      </c>
      <c r="L329" s="21"/>
      <c r="M329" s="42"/>
      <c r="N329" s="77"/>
      <c r="O329" s="80"/>
      <c r="P329" s="80"/>
      <c r="Q329" s="76">
        <f t="shared" si="32"/>
        <v>0</v>
      </c>
      <c r="R329" s="76">
        <f t="shared" si="33"/>
        <v>0</v>
      </c>
      <c r="S329" s="76">
        <f t="shared" si="34"/>
        <v>0</v>
      </c>
      <c r="T329" s="30" t="s">
        <v>1230</v>
      </c>
    </row>
    <row r="330" spans="1:20" ht="18.75" x14ac:dyDescent="0.25">
      <c r="A330" s="81" t="s">
        <v>429</v>
      </c>
      <c r="B330" s="81" t="s">
        <v>21</v>
      </c>
      <c r="C330" s="81" t="s">
        <v>62</v>
      </c>
      <c r="D330" s="81" t="s">
        <v>509</v>
      </c>
      <c r="E330" s="81" t="s">
        <v>70</v>
      </c>
      <c r="F330" s="82" t="s">
        <v>510</v>
      </c>
      <c r="G330" s="81"/>
      <c r="H330" s="81" t="s">
        <v>1478</v>
      </c>
      <c r="I330" s="83" t="str">
        <f>_xlfn.CONCAT(A330," ",C330," ",E330,H330)</f>
        <v>26 05 00.1095</v>
      </c>
      <c r="J330" s="81" t="s">
        <v>1352</v>
      </c>
      <c r="K330" s="81" t="s">
        <v>1353</v>
      </c>
      <c r="L330" s="21" t="s">
        <v>1568</v>
      </c>
      <c r="M330" s="42"/>
      <c r="N330" s="77"/>
      <c r="O330" s="80"/>
      <c r="P330" s="80"/>
      <c r="Q330" s="76">
        <f t="shared" si="32"/>
        <v>0</v>
      </c>
      <c r="R330" s="76">
        <f t="shared" si="33"/>
        <v>0</v>
      </c>
      <c r="S330" s="76">
        <f t="shared" si="34"/>
        <v>0</v>
      </c>
      <c r="T330" s="30"/>
    </row>
    <row r="331" spans="1:20" ht="18.75" x14ac:dyDescent="0.25">
      <c r="A331" s="81" t="s">
        <v>429</v>
      </c>
      <c r="B331" s="81" t="s">
        <v>21</v>
      </c>
      <c r="C331" s="81" t="s">
        <v>62</v>
      </c>
      <c r="D331" s="81" t="s">
        <v>509</v>
      </c>
      <c r="E331" s="81" t="s">
        <v>70</v>
      </c>
      <c r="F331" s="82" t="s">
        <v>510</v>
      </c>
      <c r="G331" s="81"/>
      <c r="H331" s="81" t="s">
        <v>1479</v>
      </c>
      <c r="I331" s="83" t="str">
        <f t="shared" ref="I331:I394" si="35">_xlfn.CONCAT(A331," ",C331," ",E331,H331)</f>
        <v>26 05 00.1096</v>
      </c>
      <c r="J331" s="81" t="s">
        <v>1354</v>
      </c>
      <c r="K331" s="81" t="s">
        <v>1355</v>
      </c>
      <c r="L331" s="21" t="s">
        <v>1568</v>
      </c>
      <c r="M331" s="42"/>
      <c r="N331" s="77"/>
      <c r="O331" s="80"/>
      <c r="P331" s="80"/>
      <c r="Q331" s="76">
        <f t="shared" si="32"/>
        <v>0</v>
      </c>
      <c r="R331" s="76">
        <f t="shared" si="33"/>
        <v>0</v>
      </c>
      <c r="S331" s="76">
        <f t="shared" si="34"/>
        <v>0</v>
      </c>
      <c r="T331" s="30"/>
    </row>
    <row r="332" spans="1:20" ht="18.75" x14ac:dyDescent="0.25">
      <c r="A332" s="81" t="s">
        <v>429</v>
      </c>
      <c r="B332" s="81" t="s">
        <v>21</v>
      </c>
      <c r="C332" s="81" t="s">
        <v>62</v>
      </c>
      <c r="D332" s="81" t="s">
        <v>509</v>
      </c>
      <c r="E332" s="81" t="s">
        <v>70</v>
      </c>
      <c r="F332" s="82" t="s">
        <v>510</v>
      </c>
      <c r="G332" s="81"/>
      <c r="H332" s="81" t="s">
        <v>1480</v>
      </c>
      <c r="I332" s="83" t="str">
        <f t="shared" si="35"/>
        <v>26 05 00.1097</v>
      </c>
      <c r="J332" s="81" t="s">
        <v>1326</v>
      </c>
      <c r="K332" s="81" t="s">
        <v>1327</v>
      </c>
      <c r="L332" s="21" t="s">
        <v>1569</v>
      </c>
      <c r="M332" s="42"/>
      <c r="N332" s="77"/>
      <c r="O332" s="80"/>
      <c r="P332" s="80"/>
      <c r="Q332" s="76">
        <f t="shared" si="32"/>
        <v>0</v>
      </c>
      <c r="R332" s="76">
        <f t="shared" si="33"/>
        <v>0</v>
      </c>
      <c r="S332" s="76">
        <f t="shared" si="34"/>
        <v>0</v>
      </c>
      <c r="T332" s="30"/>
    </row>
    <row r="333" spans="1:20" ht="18.75" x14ac:dyDescent="0.25">
      <c r="A333" s="81"/>
      <c r="B333" s="81"/>
      <c r="C333" s="81"/>
      <c r="D333" s="81"/>
      <c r="E333" s="81"/>
      <c r="F333" s="82"/>
      <c r="G333" s="81"/>
      <c r="H333" s="81"/>
      <c r="I333" s="83"/>
      <c r="J333" s="81"/>
      <c r="K333" s="81"/>
      <c r="L333" s="21"/>
      <c r="M333" s="42"/>
      <c r="N333" s="77"/>
      <c r="O333" s="80"/>
      <c r="P333" s="80"/>
      <c r="Q333" s="76">
        <f t="shared" si="32"/>
        <v>0</v>
      </c>
      <c r="R333" s="76">
        <f t="shared" si="33"/>
        <v>0</v>
      </c>
      <c r="S333" s="76">
        <f t="shared" si="34"/>
        <v>0</v>
      </c>
      <c r="T333" s="30"/>
    </row>
    <row r="334" spans="1:20" ht="18.75" x14ac:dyDescent="0.25">
      <c r="A334" s="81" t="s">
        <v>429</v>
      </c>
      <c r="B334" s="81" t="s">
        <v>21</v>
      </c>
      <c r="C334" s="81" t="s">
        <v>62</v>
      </c>
      <c r="D334" s="81" t="s">
        <v>509</v>
      </c>
      <c r="E334" s="81" t="s">
        <v>70</v>
      </c>
      <c r="F334" s="82" t="s">
        <v>510</v>
      </c>
      <c r="G334" s="81"/>
      <c r="H334" s="81" t="s">
        <v>1482</v>
      </c>
      <c r="I334" s="83" t="str">
        <f t="shared" si="35"/>
        <v>26 05 00.1099</v>
      </c>
      <c r="J334" s="81" t="s">
        <v>1456</v>
      </c>
      <c r="K334" s="81" t="s">
        <v>1316</v>
      </c>
      <c r="L334" s="21" t="s">
        <v>1568</v>
      </c>
      <c r="M334" s="42"/>
      <c r="N334" s="77"/>
      <c r="O334" s="80"/>
      <c r="P334" s="80"/>
      <c r="Q334" s="76">
        <f t="shared" si="32"/>
        <v>0</v>
      </c>
      <c r="R334" s="76">
        <f t="shared" si="33"/>
        <v>0</v>
      </c>
      <c r="S334" s="76">
        <f t="shared" si="34"/>
        <v>0</v>
      </c>
      <c r="T334" s="30"/>
    </row>
    <row r="335" spans="1:20" ht="18.75" x14ac:dyDescent="0.25">
      <c r="A335" s="81" t="s">
        <v>429</v>
      </c>
      <c r="B335" s="81" t="s">
        <v>21</v>
      </c>
      <c r="C335" s="81" t="s">
        <v>62</v>
      </c>
      <c r="D335" s="81" t="s">
        <v>509</v>
      </c>
      <c r="E335" s="81" t="s">
        <v>70</v>
      </c>
      <c r="F335" s="82" t="s">
        <v>510</v>
      </c>
      <c r="G335" s="81"/>
      <c r="H335" s="81" t="s">
        <v>1483</v>
      </c>
      <c r="I335" s="83" t="str">
        <f t="shared" si="35"/>
        <v>26 05 00.10100</v>
      </c>
      <c r="J335" s="81" t="s">
        <v>1457</v>
      </c>
      <c r="K335" s="81" t="s">
        <v>1317</v>
      </c>
      <c r="L335" s="21" t="s">
        <v>1568</v>
      </c>
      <c r="M335" s="42"/>
      <c r="N335" s="77"/>
      <c r="O335" s="80"/>
      <c r="P335" s="80"/>
      <c r="Q335" s="76">
        <f t="shared" si="32"/>
        <v>0</v>
      </c>
      <c r="R335" s="76">
        <f t="shared" si="33"/>
        <v>0</v>
      </c>
      <c r="S335" s="76">
        <f t="shared" si="34"/>
        <v>0</v>
      </c>
      <c r="T335" s="30"/>
    </row>
    <row r="336" spans="1:20" ht="18.75" x14ac:dyDescent="0.25">
      <c r="A336" s="81" t="s">
        <v>429</v>
      </c>
      <c r="B336" s="81" t="s">
        <v>21</v>
      </c>
      <c r="C336" s="81" t="s">
        <v>62</v>
      </c>
      <c r="D336" s="81" t="s">
        <v>509</v>
      </c>
      <c r="E336" s="81" t="s">
        <v>70</v>
      </c>
      <c r="F336" s="82" t="s">
        <v>510</v>
      </c>
      <c r="G336" s="81"/>
      <c r="H336" s="81" t="s">
        <v>1484</v>
      </c>
      <c r="I336" s="83" t="str">
        <f t="shared" si="35"/>
        <v>26 05 00.10101</v>
      </c>
      <c r="J336" s="81" t="s">
        <v>1459</v>
      </c>
      <c r="K336" s="81" t="s">
        <v>1322</v>
      </c>
      <c r="L336" s="21" t="s">
        <v>1568</v>
      </c>
      <c r="M336" s="42"/>
      <c r="N336" s="77"/>
      <c r="O336" s="80"/>
      <c r="P336" s="80"/>
      <c r="Q336" s="76">
        <f t="shared" si="32"/>
        <v>0</v>
      </c>
      <c r="R336" s="76">
        <f t="shared" si="33"/>
        <v>0</v>
      </c>
      <c r="S336" s="76">
        <f t="shared" si="34"/>
        <v>0</v>
      </c>
      <c r="T336" s="30"/>
    </row>
    <row r="337" spans="1:20" ht="18.75" x14ac:dyDescent="0.25">
      <c r="A337" s="81"/>
      <c r="B337" s="81"/>
      <c r="C337" s="81"/>
      <c r="D337" s="81"/>
      <c r="E337" s="81"/>
      <c r="F337" s="82"/>
      <c r="G337" s="81"/>
      <c r="H337" s="81"/>
      <c r="I337" s="83"/>
      <c r="J337" s="81"/>
      <c r="K337" s="81"/>
      <c r="L337" s="21"/>
      <c r="M337" s="42"/>
      <c r="N337" s="77"/>
      <c r="O337" s="80"/>
      <c r="P337" s="80"/>
      <c r="Q337" s="76">
        <f t="shared" si="32"/>
        <v>0</v>
      </c>
      <c r="R337" s="76">
        <f t="shared" si="33"/>
        <v>0</v>
      </c>
      <c r="S337" s="76">
        <f t="shared" si="34"/>
        <v>0</v>
      </c>
      <c r="T337" s="30"/>
    </row>
    <row r="338" spans="1:20" ht="18.75" x14ac:dyDescent="0.25">
      <c r="A338" s="81" t="s">
        <v>429</v>
      </c>
      <c r="B338" s="81" t="s">
        <v>21</v>
      </c>
      <c r="C338" s="81" t="s">
        <v>62</v>
      </c>
      <c r="D338" s="81" t="s">
        <v>509</v>
      </c>
      <c r="E338" s="81" t="s">
        <v>70</v>
      </c>
      <c r="F338" s="82" t="s">
        <v>510</v>
      </c>
      <c r="G338" s="81"/>
      <c r="H338" s="81" t="s">
        <v>1492</v>
      </c>
      <c r="I338" s="83" t="str">
        <f t="shared" si="35"/>
        <v>26 05 00.10103</v>
      </c>
      <c r="J338" s="81" t="s">
        <v>1344</v>
      </c>
      <c r="K338" s="81" t="s">
        <v>1345</v>
      </c>
      <c r="L338" s="21" t="s">
        <v>1568</v>
      </c>
      <c r="M338" s="42"/>
      <c r="N338" s="77"/>
      <c r="O338" s="80"/>
      <c r="P338" s="80"/>
      <c r="Q338" s="76">
        <f t="shared" si="32"/>
        <v>0</v>
      </c>
      <c r="R338" s="76">
        <f t="shared" si="33"/>
        <v>0</v>
      </c>
      <c r="S338" s="76">
        <f t="shared" si="34"/>
        <v>0</v>
      </c>
      <c r="T338" s="30"/>
    </row>
    <row r="339" spans="1:20" ht="18.75" x14ac:dyDescent="0.25">
      <c r="A339" s="81" t="s">
        <v>429</v>
      </c>
      <c r="B339" s="81" t="s">
        <v>21</v>
      </c>
      <c r="C339" s="81" t="s">
        <v>62</v>
      </c>
      <c r="D339" s="81" t="s">
        <v>509</v>
      </c>
      <c r="E339" s="81" t="s">
        <v>70</v>
      </c>
      <c r="F339" s="82" t="s">
        <v>510</v>
      </c>
      <c r="G339" s="81"/>
      <c r="H339" s="81" t="s">
        <v>1493</v>
      </c>
      <c r="I339" s="83" t="str">
        <f t="shared" si="35"/>
        <v>26 05 00.10104</v>
      </c>
      <c r="J339" s="81" t="s">
        <v>1358</v>
      </c>
      <c r="K339" s="81" t="s">
        <v>1611</v>
      </c>
      <c r="L339" s="21" t="s">
        <v>1568</v>
      </c>
      <c r="M339" s="42"/>
      <c r="N339" s="77"/>
      <c r="O339" s="80"/>
      <c r="P339" s="80"/>
      <c r="Q339" s="76">
        <f t="shared" si="32"/>
        <v>0</v>
      </c>
      <c r="R339" s="76">
        <f t="shared" si="33"/>
        <v>0</v>
      </c>
      <c r="S339" s="76">
        <f t="shared" si="34"/>
        <v>0</v>
      </c>
      <c r="T339" s="30"/>
    </row>
    <row r="340" spans="1:20" ht="18.75" x14ac:dyDescent="0.25">
      <c r="A340" s="81"/>
      <c r="B340" s="81"/>
      <c r="C340" s="81"/>
      <c r="D340" s="81"/>
      <c r="E340" s="81"/>
      <c r="F340" s="82"/>
      <c r="G340" s="81"/>
      <c r="H340" s="81"/>
      <c r="I340" s="83"/>
      <c r="J340" s="81"/>
      <c r="K340" s="81"/>
      <c r="L340" s="21"/>
      <c r="M340" s="42"/>
      <c r="N340" s="77"/>
      <c r="O340" s="80"/>
      <c r="P340" s="80"/>
      <c r="Q340" s="76"/>
      <c r="R340" s="76"/>
      <c r="S340" s="76"/>
      <c r="T340" s="30"/>
    </row>
    <row r="341" spans="1:20" ht="18.75" x14ac:dyDescent="0.25">
      <c r="A341" s="81" t="s">
        <v>429</v>
      </c>
      <c r="B341" s="81" t="s">
        <v>21</v>
      </c>
      <c r="C341" s="81" t="s">
        <v>62</v>
      </c>
      <c r="D341" s="81" t="s">
        <v>509</v>
      </c>
      <c r="E341" s="81" t="s">
        <v>70</v>
      </c>
      <c r="F341" s="82" t="s">
        <v>510</v>
      </c>
      <c r="G341" s="81"/>
      <c r="H341" s="81" t="s">
        <v>1494</v>
      </c>
      <c r="I341" s="83" t="str">
        <f t="shared" si="35"/>
        <v>26 05 00.10106</v>
      </c>
      <c r="J341" s="81" t="s">
        <v>1461</v>
      </c>
      <c r="K341" s="81" t="s">
        <v>1410</v>
      </c>
      <c r="L341" s="21" t="s">
        <v>1570</v>
      </c>
      <c r="M341" s="42"/>
      <c r="N341" s="77"/>
      <c r="O341" s="80"/>
      <c r="P341" s="80"/>
      <c r="Q341" s="76">
        <f t="shared" ref="Q341:Q372" si="36">IF($H341=0,0,COUNTIF(I:I,I341)-1)</f>
        <v>0</v>
      </c>
      <c r="R341" s="76">
        <f t="shared" ref="R341:R372" si="37">IF($H341=0,0,COUNTIF(J:J,J341)-1)</f>
        <v>0</v>
      </c>
      <c r="S341" s="76">
        <f t="shared" ref="S341:S372" si="38">IF($H341=0,0,COUNTIF(K:K,K341)-1)</f>
        <v>0</v>
      </c>
      <c r="T341" s="30"/>
    </row>
    <row r="342" spans="1:20" ht="18.75" x14ac:dyDescent="0.25">
      <c r="A342" s="81" t="s">
        <v>429</v>
      </c>
      <c r="B342" s="81" t="s">
        <v>21</v>
      </c>
      <c r="C342" s="81" t="s">
        <v>62</v>
      </c>
      <c r="D342" s="81" t="s">
        <v>509</v>
      </c>
      <c r="E342" s="81" t="s">
        <v>70</v>
      </c>
      <c r="F342" s="82" t="s">
        <v>510</v>
      </c>
      <c r="G342" s="81"/>
      <c r="H342" s="81" t="s">
        <v>1495</v>
      </c>
      <c r="I342" s="83" t="str">
        <f t="shared" si="35"/>
        <v>26 05 00.10107</v>
      </c>
      <c r="J342" s="81" t="s">
        <v>1423</v>
      </c>
      <c r="K342" s="81" t="s">
        <v>1424</v>
      </c>
      <c r="L342" s="21" t="s">
        <v>1568</v>
      </c>
      <c r="M342" s="42"/>
      <c r="N342" s="77"/>
      <c r="O342" s="80"/>
      <c r="P342" s="80"/>
      <c r="Q342" s="76">
        <f t="shared" si="36"/>
        <v>0</v>
      </c>
      <c r="R342" s="76">
        <f t="shared" si="37"/>
        <v>0</v>
      </c>
      <c r="S342" s="76">
        <f t="shared" si="38"/>
        <v>0</v>
      </c>
      <c r="T342" s="30"/>
    </row>
    <row r="343" spans="1:20" ht="18.75" x14ac:dyDescent="0.25">
      <c r="A343" s="81" t="s">
        <v>429</v>
      </c>
      <c r="B343" s="81" t="s">
        <v>21</v>
      </c>
      <c r="C343" s="81" t="s">
        <v>62</v>
      </c>
      <c r="D343" s="81" t="s">
        <v>509</v>
      </c>
      <c r="E343" s="81" t="s">
        <v>70</v>
      </c>
      <c r="F343" s="82" t="s">
        <v>510</v>
      </c>
      <c r="G343" s="81"/>
      <c r="H343" s="81" t="s">
        <v>1496</v>
      </c>
      <c r="I343" s="83" t="str">
        <f t="shared" si="35"/>
        <v>26 05 00.10108</v>
      </c>
      <c r="J343" s="81" t="s">
        <v>1462</v>
      </c>
      <c r="K343" s="81" t="s">
        <v>1425</v>
      </c>
      <c r="L343" s="21" t="s">
        <v>1570</v>
      </c>
      <c r="M343" s="42"/>
      <c r="N343" s="77"/>
      <c r="O343" s="80"/>
      <c r="P343" s="80"/>
      <c r="Q343" s="76">
        <f t="shared" si="36"/>
        <v>0</v>
      </c>
      <c r="R343" s="76">
        <f t="shared" si="37"/>
        <v>0</v>
      </c>
      <c r="S343" s="76">
        <f t="shared" si="38"/>
        <v>0</v>
      </c>
      <c r="T343" s="30"/>
    </row>
    <row r="344" spans="1:20" ht="18.75" x14ac:dyDescent="0.25">
      <c r="A344" s="81" t="s">
        <v>429</v>
      </c>
      <c r="B344" s="81" t="s">
        <v>21</v>
      </c>
      <c r="C344" s="81" t="s">
        <v>62</v>
      </c>
      <c r="D344" s="81" t="s">
        <v>509</v>
      </c>
      <c r="E344" s="81" t="s">
        <v>70</v>
      </c>
      <c r="F344" s="82" t="s">
        <v>510</v>
      </c>
      <c r="G344" s="81"/>
      <c r="H344" s="81" t="s">
        <v>1497</v>
      </c>
      <c r="I344" s="83" t="str">
        <f t="shared" si="35"/>
        <v>26 05 00.10109</v>
      </c>
      <c r="J344" s="81" t="s">
        <v>1464</v>
      </c>
      <c r="K344" s="81" t="s">
        <v>1427</v>
      </c>
      <c r="L344" s="21" t="s">
        <v>1570</v>
      </c>
      <c r="M344" s="42"/>
      <c r="N344" s="77"/>
      <c r="O344" s="80"/>
      <c r="P344" s="80"/>
      <c r="Q344" s="76">
        <f t="shared" si="36"/>
        <v>0</v>
      </c>
      <c r="R344" s="76">
        <f t="shared" si="37"/>
        <v>0</v>
      </c>
      <c r="S344" s="76">
        <f t="shared" si="38"/>
        <v>0</v>
      </c>
      <c r="T344" s="30"/>
    </row>
    <row r="345" spans="1:20" ht="18.75" x14ac:dyDescent="0.25">
      <c r="A345" s="81" t="s">
        <v>429</v>
      </c>
      <c r="B345" s="81" t="s">
        <v>21</v>
      </c>
      <c r="C345" s="81" t="s">
        <v>62</v>
      </c>
      <c r="D345" s="81" t="s">
        <v>509</v>
      </c>
      <c r="E345" s="81" t="s">
        <v>70</v>
      </c>
      <c r="F345" s="82" t="s">
        <v>510</v>
      </c>
      <c r="G345" s="81"/>
      <c r="H345" s="81" t="s">
        <v>1498</v>
      </c>
      <c r="I345" s="83" t="str">
        <f t="shared" si="35"/>
        <v>26 05 00.10110</v>
      </c>
      <c r="J345" s="81" t="s">
        <v>1465</v>
      </c>
      <c r="K345" s="81" t="s">
        <v>1466</v>
      </c>
      <c r="L345" s="21" t="s">
        <v>1568</v>
      </c>
      <c r="M345" s="42"/>
      <c r="N345" s="77"/>
      <c r="O345" s="80"/>
      <c r="P345" s="80"/>
      <c r="Q345" s="76">
        <f t="shared" si="36"/>
        <v>0</v>
      </c>
      <c r="R345" s="76">
        <f t="shared" si="37"/>
        <v>0</v>
      </c>
      <c r="S345" s="76">
        <f t="shared" si="38"/>
        <v>0</v>
      </c>
      <c r="T345" s="30"/>
    </row>
    <row r="346" spans="1:20" ht="18.75" x14ac:dyDescent="0.25">
      <c r="A346" s="81" t="s">
        <v>429</v>
      </c>
      <c r="B346" s="81" t="s">
        <v>21</v>
      </c>
      <c r="C346" s="81" t="s">
        <v>62</v>
      </c>
      <c r="D346" s="81" t="s">
        <v>509</v>
      </c>
      <c r="E346" s="81" t="s">
        <v>70</v>
      </c>
      <c r="F346" s="82" t="s">
        <v>510</v>
      </c>
      <c r="G346" s="81"/>
      <c r="H346" s="81" t="s">
        <v>1499</v>
      </c>
      <c r="I346" s="83" t="str">
        <f t="shared" si="35"/>
        <v>26 05 00.10111</v>
      </c>
      <c r="J346" s="81" t="s">
        <v>1467</v>
      </c>
      <c r="K346" s="81" t="s">
        <v>1468</v>
      </c>
      <c r="L346" s="21" t="s">
        <v>1568</v>
      </c>
      <c r="M346" s="42"/>
      <c r="N346" s="77"/>
      <c r="O346" s="80"/>
      <c r="P346" s="80"/>
      <c r="Q346" s="76">
        <f t="shared" si="36"/>
        <v>0</v>
      </c>
      <c r="R346" s="76">
        <f t="shared" si="37"/>
        <v>0</v>
      </c>
      <c r="S346" s="76">
        <f t="shared" si="38"/>
        <v>0</v>
      </c>
      <c r="T346" s="30"/>
    </row>
    <row r="347" spans="1:20" ht="18.75" x14ac:dyDescent="0.25">
      <c r="A347" s="81" t="s">
        <v>429</v>
      </c>
      <c r="B347" s="81" t="s">
        <v>21</v>
      </c>
      <c r="C347" s="81" t="s">
        <v>62</v>
      </c>
      <c r="D347" s="81" t="s">
        <v>509</v>
      </c>
      <c r="E347" s="81" t="s">
        <v>70</v>
      </c>
      <c r="F347" s="82" t="s">
        <v>510</v>
      </c>
      <c r="G347" s="81"/>
      <c r="H347" s="81" t="s">
        <v>1500</v>
      </c>
      <c r="I347" s="83" t="str">
        <f t="shared" si="35"/>
        <v>26 05 00.10112</v>
      </c>
      <c r="J347" s="81" t="s">
        <v>1608</v>
      </c>
      <c r="K347" s="81" t="s">
        <v>1428</v>
      </c>
      <c r="L347" s="21" t="s">
        <v>1568</v>
      </c>
      <c r="M347" s="42"/>
      <c r="N347" s="77"/>
      <c r="O347" s="80"/>
      <c r="P347" s="80"/>
      <c r="Q347" s="76">
        <f t="shared" si="36"/>
        <v>0</v>
      </c>
      <c r="R347" s="76">
        <f t="shared" si="37"/>
        <v>0</v>
      </c>
      <c r="S347" s="76">
        <f t="shared" si="38"/>
        <v>0</v>
      </c>
      <c r="T347" s="30"/>
    </row>
    <row r="348" spans="1:20" ht="18.75" x14ac:dyDescent="0.25">
      <c r="A348" s="81" t="s">
        <v>429</v>
      </c>
      <c r="B348" s="81" t="s">
        <v>21</v>
      </c>
      <c r="C348" s="81" t="s">
        <v>62</v>
      </c>
      <c r="D348" s="81" t="s">
        <v>509</v>
      </c>
      <c r="E348" s="81" t="s">
        <v>70</v>
      </c>
      <c r="F348" s="82" t="s">
        <v>510</v>
      </c>
      <c r="G348" s="81"/>
      <c r="H348" s="81" t="s">
        <v>1501</v>
      </c>
      <c r="I348" s="83" t="str">
        <f t="shared" si="35"/>
        <v>26 05 00.10113</v>
      </c>
      <c r="J348" s="81" t="s">
        <v>1609</v>
      </c>
      <c r="K348" s="81" t="s">
        <v>1429</v>
      </c>
      <c r="L348" s="21" t="s">
        <v>1568</v>
      </c>
      <c r="M348" s="42"/>
      <c r="N348" s="77"/>
      <c r="O348" s="80"/>
      <c r="P348" s="80"/>
      <c r="Q348" s="76">
        <f t="shared" si="36"/>
        <v>0</v>
      </c>
      <c r="R348" s="76">
        <f t="shared" si="37"/>
        <v>0</v>
      </c>
      <c r="S348" s="76">
        <f t="shared" si="38"/>
        <v>0</v>
      </c>
      <c r="T348" s="30"/>
    </row>
    <row r="349" spans="1:20" ht="18.75" x14ac:dyDescent="0.25">
      <c r="A349" s="81" t="s">
        <v>429</v>
      </c>
      <c r="B349" s="81" t="s">
        <v>21</v>
      </c>
      <c r="C349" s="81" t="s">
        <v>62</v>
      </c>
      <c r="D349" s="81" t="s">
        <v>509</v>
      </c>
      <c r="E349" s="81" t="s">
        <v>70</v>
      </c>
      <c r="F349" s="82" t="s">
        <v>510</v>
      </c>
      <c r="G349" s="81"/>
      <c r="H349" s="81" t="s">
        <v>1502</v>
      </c>
      <c r="I349" s="83" t="str">
        <f t="shared" si="35"/>
        <v>26 05 00.10114</v>
      </c>
      <c r="J349" s="81" t="s">
        <v>1430</v>
      </c>
      <c r="K349" s="81" t="s">
        <v>1576</v>
      </c>
      <c r="L349" s="21" t="s">
        <v>1568</v>
      </c>
      <c r="M349" s="42"/>
      <c r="N349" s="77"/>
      <c r="O349" s="80"/>
      <c r="P349" s="80"/>
      <c r="Q349" s="76">
        <f t="shared" si="36"/>
        <v>0</v>
      </c>
      <c r="R349" s="76">
        <f t="shared" si="37"/>
        <v>0</v>
      </c>
      <c r="S349" s="76">
        <f t="shared" si="38"/>
        <v>0</v>
      </c>
      <c r="T349" s="30"/>
    </row>
    <row r="350" spans="1:20" ht="18.75" x14ac:dyDescent="0.25">
      <c r="A350" s="81" t="s">
        <v>429</v>
      </c>
      <c r="B350" s="81" t="s">
        <v>21</v>
      </c>
      <c r="C350" s="81" t="s">
        <v>62</v>
      </c>
      <c r="D350" s="81" t="s">
        <v>509</v>
      </c>
      <c r="E350" s="81" t="s">
        <v>70</v>
      </c>
      <c r="F350" s="82" t="s">
        <v>510</v>
      </c>
      <c r="G350" s="81"/>
      <c r="H350" s="81" t="s">
        <v>1503</v>
      </c>
      <c r="I350" s="83" t="str">
        <f t="shared" si="35"/>
        <v>26 05 00.10115</v>
      </c>
      <c r="J350" s="81" t="s">
        <v>1431</v>
      </c>
      <c r="K350" s="81" t="s">
        <v>1577</v>
      </c>
      <c r="L350" s="21" t="s">
        <v>1568</v>
      </c>
      <c r="M350" s="42"/>
      <c r="N350" s="77"/>
      <c r="O350" s="80"/>
      <c r="P350" s="80"/>
      <c r="Q350" s="76">
        <f t="shared" si="36"/>
        <v>0</v>
      </c>
      <c r="R350" s="76">
        <f t="shared" si="37"/>
        <v>0</v>
      </c>
      <c r="S350" s="76">
        <f t="shared" si="38"/>
        <v>0</v>
      </c>
      <c r="T350" s="30"/>
    </row>
    <row r="351" spans="1:20" ht="18.75" x14ac:dyDescent="0.25">
      <c r="A351" s="81" t="s">
        <v>429</v>
      </c>
      <c r="B351" s="81" t="s">
        <v>21</v>
      </c>
      <c r="C351" s="81" t="s">
        <v>62</v>
      </c>
      <c r="D351" s="81" t="s">
        <v>509</v>
      </c>
      <c r="E351" s="81" t="s">
        <v>70</v>
      </c>
      <c r="F351" s="82" t="s">
        <v>510</v>
      </c>
      <c r="G351" s="81"/>
      <c r="H351" s="81" t="s">
        <v>1504</v>
      </c>
      <c r="I351" s="83" t="str">
        <f t="shared" si="35"/>
        <v>26 05 00.10116</v>
      </c>
      <c r="J351" s="81" t="s">
        <v>1432</v>
      </c>
      <c r="K351" s="81" t="s">
        <v>1578</v>
      </c>
      <c r="L351" s="21" t="s">
        <v>1568</v>
      </c>
      <c r="M351" s="42"/>
      <c r="N351" s="77"/>
      <c r="O351" s="80"/>
      <c r="P351" s="80"/>
      <c r="Q351" s="76">
        <f t="shared" si="36"/>
        <v>0</v>
      </c>
      <c r="R351" s="76">
        <f t="shared" si="37"/>
        <v>0</v>
      </c>
      <c r="S351" s="76">
        <f t="shared" si="38"/>
        <v>0</v>
      </c>
      <c r="T351" s="30"/>
    </row>
    <row r="352" spans="1:20" ht="18.75" x14ac:dyDescent="0.25">
      <c r="A352" s="81" t="s">
        <v>429</v>
      </c>
      <c r="B352" s="81" t="s">
        <v>21</v>
      </c>
      <c r="C352" s="81" t="s">
        <v>62</v>
      </c>
      <c r="D352" s="81" t="s">
        <v>509</v>
      </c>
      <c r="E352" s="81" t="s">
        <v>70</v>
      </c>
      <c r="F352" s="82" t="s">
        <v>510</v>
      </c>
      <c r="G352" s="81"/>
      <c r="H352" s="81" t="s">
        <v>1505</v>
      </c>
      <c r="I352" s="83" t="str">
        <f t="shared" si="35"/>
        <v>26 05 00.10117</v>
      </c>
      <c r="J352" s="81" t="s">
        <v>1433</v>
      </c>
      <c r="K352" s="81" t="s">
        <v>1597</v>
      </c>
      <c r="L352" s="21" t="s">
        <v>1568</v>
      </c>
      <c r="M352" s="42"/>
      <c r="N352" s="77"/>
      <c r="O352" s="80"/>
      <c r="P352" s="80"/>
      <c r="Q352" s="76">
        <f t="shared" si="36"/>
        <v>0</v>
      </c>
      <c r="R352" s="76">
        <f t="shared" si="37"/>
        <v>0</v>
      </c>
      <c r="S352" s="76">
        <f t="shared" si="38"/>
        <v>0</v>
      </c>
      <c r="T352" s="30"/>
    </row>
    <row r="353" spans="1:20" ht="18.75" x14ac:dyDescent="0.25">
      <c r="A353" s="81" t="s">
        <v>429</v>
      </c>
      <c r="B353" s="81" t="s">
        <v>21</v>
      </c>
      <c r="C353" s="81" t="s">
        <v>62</v>
      </c>
      <c r="D353" s="81" t="s">
        <v>509</v>
      </c>
      <c r="E353" s="81" t="s">
        <v>70</v>
      </c>
      <c r="F353" s="82" t="s">
        <v>510</v>
      </c>
      <c r="G353" s="81"/>
      <c r="H353" s="81" t="s">
        <v>1506</v>
      </c>
      <c r="I353" s="83" t="str">
        <f t="shared" si="35"/>
        <v>26 05 00.10118</v>
      </c>
      <c r="J353" s="81" t="s">
        <v>1434</v>
      </c>
      <c r="K353" s="81" t="s">
        <v>1579</v>
      </c>
      <c r="L353" s="21" t="s">
        <v>1568</v>
      </c>
      <c r="M353" s="42"/>
      <c r="N353" s="77"/>
      <c r="O353" s="80"/>
      <c r="P353" s="80"/>
      <c r="Q353" s="76">
        <f t="shared" si="36"/>
        <v>0</v>
      </c>
      <c r="R353" s="76">
        <f t="shared" si="37"/>
        <v>0</v>
      </c>
      <c r="S353" s="76">
        <f t="shared" si="38"/>
        <v>0</v>
      </c>
      <c r="T353" s="30"/>
    </row>
    <row r="354" spans="1:20" ht="18.75" x14ac:dyDescent="0.25">
      <c r="A354" s="81" t="s">
        <v>429</v>
      </c>
      <c r="B354" s="81" t="s">
        <v>21</v>
      </c>
      <c r="C354" s="81" t="s">
        <v>62</v>
      </c>
      <c r="D354" s="81" t="s">
        <v>509</v>
      </c>
      <c r="E354" s="81" t="s">
        <v>70</v>
      </c>
      <c r="F354" s="82" t="s">
        <v>510</v>
      </c>
      <c r="G354" s="81"/>
      <c r="H354" s="81" t="s">
        <v>1507</v>
      </c>
      <c r="I354" s="83" t="str">
        <f t="shared" si="35"/>
        <v>26 05 00.10119</v>
      </c>
      <c r="J354" s="81" t="s">
        <v>1580</v>
      </c>
      <c r="K354" s="81" t="s">
        <v>1581</v>
      </c>
      <c r="L354" s="21" t="s">
        <v>1568</v>
      </c>
      <c r="M354" s="42"/>
      <c r="N354" s="77"/>
      <c r="O354" s="80"/>
      <c r="P354" s="80"/>
      <c r="Q354" s="76">
        <f t="shared" si="36"/>
        <v>0</v>
      </c>
      <c r="R354" s="76">
        <f t="shared" si="37"/>
        <v>0</v>
      </c>
      <c r="S354" s="76">
        <f t="shared" si="38"/>
        <v>0</v>
      </c>
      <c r="T354" s="30"/>
    </row>
    <row r="355" spans="1:20" ht="18.75" x14ac:dyDescent="0.25">
      <c r="A355" s="81" t="s">
        <v>429</v>
      </c>
      <c r="B355" s="81" t="s">
        <v>21</v>
      </c>
      <c r="C355" s="81" t="s">
        <v>62</v>
      </c>
      <c r="D355" s="81" t="s">
        <v>509</v>
      </c>
      <c r="E355" s="81" t="s">
        <v>70</v>
      </c>
      <c r="F355" s="82" t="s">
        <v>510</v>
      </c>
      <c r="G355" s="81"/>
      <c r="H355" s="81" t="s">
        <v>1508</v>
      </c>
      <c r="I355" s="83" t="str">
        <f t="shared" si="35"/>
        <v>26 05 00.10120</v>
      </c>
      <c r="J355" s="81" t="s">
        <v>1435</v>
      </c>
      <c r="K355" s="81" t="s">
        <v>1598</v>
      </c>
      <c r="L355" s="21" t="s">
        <v>1568</v>
      </c>
      <c r="M355" s="42"/>
      <c r="N355" s="77"/>
      <c r="O355" s="80"/>
      <c r="P355" s="80"/>
      <c r="Q355" s="76">
        <f t="shared" si="36"/>
        <v>0</v>
      </c>
      <c r="R355" s="76">
        <f t="shared" si="37"/>
        <v>0</v>
      </c>
      <c r="S355" s="76">
        <f t="shared" si="38"/>
        <v>0</v>
      </c>
      <c r="T355" s="30"/>
    </row>
    <row r="356" spans="1:20" ht="18.75" x14ac:dyDescent="0.25">
      <c r="A356" s="81" t="s">
        <v>429</v>
      </c>
      <c r="B356" s="81" t="s">
        <v>21</v>
      </c>
      <c r="C356" s="81" t="s">
        <v>62</v>
      </c>
      <c r="D356" s="81" t="s">
        <v>509</v>
      </c>
      <c r="E356" s="81" t="s">
        <v>70</v>
      </c>
      <c r="F356" s="82" t="s">
        <v>510</v>
      </c>
      <c r="G356" s="81"/>
      <c r="H356" s="81" t="s">
        <v>1509</v>
      </c>
      <c r="I356" s="83" t="str">
        <f t="shared" si="35"/>
        <v>26 05 00.10121</v>
      </c>
      <c r="J356" s="81" t="s">
        <v>1436</v>
      </c>
      <c r="K356" s="81" t="s">
        <v>1599</v>
      </c>
      <c r="L356" s="21" t="s">
        <v>1568</v>
      </c>
      <c r="M356" s="42"/>
      <c r="N356" s="77"/>
      <c r="O356" s="80"/>
      <c r="P356" s="80"/>
      <c r="Q356" s="76">
        <f t="shared" si="36"/>
        <v>0</v>
      </c>
      <c r="R356" s="76">
        <f t="shared" si="37"/>
        <v>0</v>
      </c>
      <c r="S356" s="76">
        <f t="shared" si="38"/>
        <v>0</v>
      </c>
      <c r="T356" s="30"/>
    </row>
    <row r="357" spans="1:20" ht="18.75" x14ac:dyDescent="0.25">
      <c r="A357" s="81" t="s">
        <v>429</v>
      </c>
      <c r="B357" s="81" t="s">
        <v>21</v>
      </c>
      <c r="C357" s="81" t="s">
        <v>62</v>
      </c>
      <c r="D357" s="81" t="s">
        <v>509</v>
      </c>
      <c r="E357" s="81" t="s">
        <v>70</v>
      </c>
      <c r="F357" s="82" t="s">
        <v>510</v>
      </c>
      <c r="G357" s="81"/>
      <c r="H357" s="81" t="s">
        <v>1510</v>
      </c>
      <c r="I357" s="83" t="str">
        <f t="shared" si="35"/>
        <v>26 05 00.10122</v>
      </c>
      <c r="J357" s="81" t="s">
        <v>1437</v>
      </c>
      <c r="K357" s="81" t="s">
        <v>1582</v>
      </c>
      <c r="L357" s="21" t="s">
        <v>1568</v>
      </c>
      <c r="M357" s="42"/>
      <c r="N357" s="77"/>
      <c r="O357" s="80"/>
      <c r="P357" s="80"/>
      <c r="Q357" s="76">
        <f t="shared" si="36"/>
        <v>0</v>
      </c>
      <c r="R357" s="76">
        <f t="shared" si="37"/>
        <v>0</v>
      </c>
      <c r="S357" s="76">
        <f t="shared" si="38"/>
        <v>0</v>
      </c>
      <c r="T357" s="30"/>
    </row>
    <row r="358" spans="1:20" ht="18.75" x14ac:dyDescent="0.25">
      <c r="A358" s="81" t="s">
        <v>429</v>
      </c>
      <c r="B358" s="81" t="s">
        <v>21</v>
      </c>
      <c r="C358" s="81" t="s">
        <v>62</v>
      </c>
      <c r="D358" s="81" t="s">
        <v>509</v>
      </c>
      <c r="E358" s="81" t="s">
        <v>70</v>
      </c>
      <c r="F358" s="82" t="s">
        <v>510</v>
      </c>
      <c r="G358" s="81"/>
      <c r="H358" s="81" t="s">
        <v>1511</v>
      </c>
      <c r="I358" s="83" t="str">
        <f t="shared" si="35"/>
        <v>26 05 00.10123</v>
      </c>
      <c r="J358" s="81" t="s">
        <v>1438</v>
      </c>
      <c r="K358" s="81" t="s">
        <v>1583</v>
      </c>
      <c r="L358" s="21" t="s">
        <v>1568</v>
      </c>
      <c r="M358" s="42"/>
      <c r="N358" s="77"/>
      <c r="O358" s="80"/>
      <c r="P358" s="80"/>
      <c r="Q358" s="76">
        <f t="shared" si="36"/>
        <v>0</v>
      </c>
      <c r="R358" s="76">
        <f t="shared" si="37"/>
        <v>0</v>
      </c>
      <c r="S358" s="76">
        <f t="shared" si="38"/>
        <v>0</v>
      </c>
      <c r="T358" s="30"/>
    </row>
    <row r="359" spans="1:20" ht="18.75" x14ac:dyDescent="0.25">
      <c r="A359" s="81" t="s">
        <v>429</v>
      </c>
      <c r="B359" s="81" t="s">
        <v>21</v>
      </c>
      <c r="C359" s="81" t="s">
        <v>62</v>
      </c>
      <c r="D359" s="81" t="s">
        <v>509</v>
      </c>
      <c r="E359" s="81" t="s">
        <v>70</v>
      </c>
      <c r="F359" s="82" t="s">
        <v>510</v>
      </c>
      <c r="G359" s="81"/>
      <c r="H359" s="81" t="s">
        <v>1512</v>
      </c>
      <c r="I359" s="83" t="str">
        <f t="shared" si="35"/>
        <v>26 05 00.10124</v>
      </c>
      <c r="J359" s="81" t="s">
        <v>1584</v>
      </c>
      <c r="K359" s="81" t="s">
        <v>1585</v>
      </c>
      <c r="L359" s="21" t="s">
        <v>1568</v>
      </c>
      <c r="M359" s="42"/>
      <c r="N359" s="77"/>
      <c r="O359" s="80"/>
      <c r="P359" s="80"/>
      <c r="Q359" s="76">
        <f t="shared" si="36"/>
        <v>0</v>
      </c>
      <c r="R359" s="76">
        <f t="shared" si="37"/>
        <v>0</v>
      </c>
      <c r="S359" s="76">
        <f t="shared" si="38"/>
        <v>0</v>
      </c>
      <c r="T359" s="30"/>
    </row>
    <row r="360" spans="1:20" ht="18.75" x14ac:dyDescent="0.25">
      <c r="A360" s="81" t="s">
        <v>429</v>
      </c>
      <c r="B360" s="81" t="s">
        <v>21</v>
      </c>
      <c r="C360" s="81" t="s">
        <v>62</v>
      </c>
      <c r="D360" s="81" t="s">
        <v>509</v>
      </c>
      <c r="E360" s="81" t="s">
        <v>70</v>
      </c>
      <c r="F360" s="82" t="s">
        <v>510</v>
      </c>
      <c r="G360" s="81"/>
      <c r="H360" s="81" t="s">
        <v>1513</v>
      </c>
      <c r="I360" s="83" t="str">
        <f t="shared" si="35"/>
        <v>26 05 00.10125</v>
      </c>
      <c r="J360" s="81" t="s">
        <v>1586</v>
      </c>
      <c r="K360" s="81" t="s">
        <v>1587</v>
      </c>
      <c r="L360" s="21" t="s">
        <v>1568</v>
      </c>
      <c r="M360" s="42"/>
      <c r="N360" s="77"/>
      <c r="O360" s="80"/>
      <c r="P360" s="80"/>
      <c r="Q360" s="76">
        <f t="shared" si="36"/>
        <v>0</v>
      </c>
      <c r="R360" s="76">
        <f t="shared" si="37"/>
        <v>0</v>
      </c>
      <c r="S360" s="76">
        <f t="shared" si="38"/>
        <v>0</v>
      </c>
      <c r="T360" s="30"/>
    </row>
    <row r="361" spans="1:20" ht="18.75" x14ac:dyDescent="0.25">
      <c r="A361" s="81" t="s">
        <v>429</v>
      </c>
      <c r="B361" s="81" t="s">
        <v>21</v>
      </c>
      <c r="C361" s="81" t="s">
        <v>62</v>
      </c>
      <c r="D361" s="81" t="s">
        <v>509</v>
      </c>
      <c r="E361" s="81" t="s">
        <v>70</v>
      </c>
      <c r="F361" s="82" t="s">
        <v>510</v>
      </c>
      <c r="G361" s="81"/>
      <c r="H361" s="81" t="s">
        <v>1514</v>
      </c>
      <c r="I361" s="83" t="str">
        <f t="shared" si="35"/>
        <v>26 05 00.10126</v>
      </c>
      <c r="J361" s="81" t="s">
        <v>1439</v>
      </c>
      <c r="K361" s="81" t="s">
        <v>1588</v>
      </c>
      <c r="L361" s="21" t="s">
        <v>1568</v>
      </c>
      <c r="M361" s="42"/>
      <c r="N361" s="77"/>
      <c r="O361" s="80"/>
      <c r="P361" s="80"/>
      <c r="Q361" s="76">
        <f t="shared" si="36"/>
        <v>0</v>
      </c>
      <c r="R361" s="76">
        <f t="shared" si="37"/>
        <v>0</v>
      </c>
      <c r="S361" s="76">
        <f t="shared" si="38"/>
        <v>0</v>
      </c>
      <c r="T361" s="30"/>
    </row>
    <row r="362" spans="1:20" ht="18.75" x14ac:dyDescent="0.25">
      <c r="A362" s="81" t="s">
        <v>429</v>
      </c>
      <c r="B362" s="81" t="s">
        <v>21</v>
      </c>
      <c r="C362" s="81" t="s">
        <v>62</v>
      </c>
      <c r="D362" s="81" t="s">
        <v>509</v>
      </c>
      <c r="E362" s="81" t="s">
        <v>70</v>
      </c>
      <c r="F362" s="82" t="s">
        <v>510</v>
      </c>
      <c r="G362" s="81"/>
      <c r="H362" s="81" t="s">
        <v>1515</v>
      </c>
      <c r="I362" s="83" t="str">
        <f t="shared" si="35"/>
        <v>26 05 00.10127</v>
      </c>
      <c r="J362" s="81" t="s">
        <v>1440</v>
      </c>
      <c r="K362" s="81" t="s">
        <v>1600</v>
      </c>
      <c r="L362" s="21" t="s">
        <v>1568</v>
      </c>
      <c r="M362" s="42"/>
      <c r="N362" s="77"/>
      <c r="O362" s="80"/>
      <c r="P362" s="80"/>
      <c r="Q362" s="76">
        <f t="shared" si="36"/>
        <v>0</v>
      </c>
      <c r="R362" s="76">
        <f t="shared" si="37"/>
        <v>0</v>
      </c>
      <c r="S362" s="76">
        <f t="shared" si="38"/>
        <v>0</v>
      </c>
      <c r="T362" s="30"/>
    </row>
    <row r="363" spans="1:20" ht="18.75" x14ac:dyDescent="0.25">
      <c r="A363" s="81" t="s">
        <v>429</v>
      </c>
      <c r="B363" s="81" t="s">
        <v>21</v>
      </c>
      <c r="C363" s="81" t="s">
        <v>62</v>
      </c>
      <c r="D363" s="81" t="s">
        <v>509</v>
      </c>
      <c r="E363" s="81" t="s">
        <v>70</v>
      </c>
      <c r="F363" s="82" t="s">
        <v>510</v>
      </c>
      <c r="G363" s="81"/>
      <c r="H363" s="81" t="s">
        <v>1516</v>
      </c>
      <c r="I363" s="83" t="str">
        <f t="shared" si="35"/>
        <v>26 05 00.10128</v>
      </c>
      <c r="J363" s="81" t="s">
        <v>1441</v>
      </c>
      <c r="K363" s="81" t="s">
        <v>1601</v>
      </c>
      <c r="L363" s="21" t="s">
        <v>1568</v>
      </c>
      <c r="M363" s="42"/>
      <c r="N363" s="77"/>
      <c r="O363" s="80"/>
      <c r="P363" s="80"/>
      <c r="Q363" s="76">
        <f t="shared" si="36"/>
        <v>0</v>
      </c>
      <c r="R363" s="76">
        <f t="shared" si="37"/>
        <v>0</v>
      </c>
      <c r="S363" s="76">
        <f t="shared" si="38"/>
        <v>0</v>
      </c>
      <c r="T363" s="30"/>
    </row>
    <row r="364" spans="1:20" ht="18.75" x14ac:dyDescent="0.25">
      <c r="A364" s="81" t="s">
        <v>429</v>
      </c>
      <c r="B364" s="81" t="s">
        <v>21</v>
      </c>
      <c r="C364" s="81" t="s">
        <v>62</v>
      </c>
      <c r="D364" s="81" t="s">
        <v>509</v>
      </c>
      <c r="E364" s="81" t="s">
        <v>70</v>
      </c>
      <c r="F364" s="82" t="s">
        <v>510</v>
      </c>
      <c r="G364" s="81"/>
      <c r="H364" s="81" t="s">
        <v>1517</v>
      </c>
      <c r="I364" s="83" t="str">
        <f t="shared" si="35"/>
        <v>26 05 00.10129</v>
      </c>
      <c r="J364" s="81" t="s">
        <v>1443</v>
      </c>
      <c r="K364" s="81" t="s">
        <v>1589</v>
      </c>
      <c r="L364" s="21" t="s">
        <v>1568</v>
      </c>
      <c r="M364" s="42"/>
      <c r="N364" s="77"/>
      <c r="O364" s="80"/>
      <c r="P364" s="80"/>
      <c r="Q364" s="76">
        <f t="shared" si="36"/>
        <v>0</v>
      </c>
      <c r="R364" s="76">
        <f t="shared" si="37"/>
        <v>0</v>
      </c>
      <c r="S364" s="76">
        <f t="shared" si="38"/>
        <v>0</v>
      </c>
      <c r="T364" s="30"/>
    </row>
    <row r="365" spans="1:20" ht="18.75" x14ac:dyDescent="0.25">
      <c r="A365" s="81" t="s">
        <v>429</v>
      </c>
      <c r="B365" s="81" t="s">
        <v>21</v>
      </c>
      <c r="C365" s="81" t="s">
        <v>62</v>
      </c>
      <c r="D365" s="81" t="s">
        <v>509</v>
      </c>
      <c r="E365" s="81" t="s">
        <v>70</v>
      </c>
      <c r="F365" s="82" t="s">
        <v>510</v>
      </c>
      <c r="G365" s="81"/>
      <c r="H365" s="81" t="s">
        <v>1518</v>
      </c>
      <c r="I365" s="83" t="str">
        <f t="shared" si="35"/>
        <v>26 05 00.10130</v>
      </c>
      <c r="J365" s="81" t="s">
        <v>1444</v>
      </c>
      <c r="K365" s="81" t="s">
        <v>1590</v>
      </c>
      <c r="L365" s="21" t="s">
        <v>1568</v>
      </c>
      <c r="M365" s="42"/>
      <c r="N365" s="77"/>
      <c r="O365" s="80"/>
      <c r="P365" s="80"/>
      <c r="Q365" s="76">
        <f t="shared" si="36"/>
        <v>0</v>
      </c>
      <c r="R365" s="76">
        <f t="shared" si="37"/>
        <v>0</v>
      </c>
      <c r="S365" s="76">
        <f t="shared" si="38"/>
        <v>0</v>
      </c>
      <c r="T365" s="30"/>
    </row>
    <row r="366" spans="1:20" ht="18.75" x14ac:dyDescent="0.25">
      <c r="A366" s="81" t="s">
        <v>429</v>
      </c>
      <c r="B366" s="81" t="s">
        <v>21</v>
      </c>
      <c r="C366" s="81" t="s">
        <v>62</v>
      </c>
      <c r="D366" s="81" t="s">
        <v>509</v>
      </c>
      <c r="E366" s="81" t="s">
        <v>70</v>
      </c>
      <c r="F366" s="82" t="s">
        <v>510</v>
      </c>
      <c r="G366" s="81"/>
      <c r="H366" s="81" t="s">
        <v>1519</v>
      </c>
      <c r="I366" s="83" t="str">
        <f t="shared" si="35"/>
        <v>26 05 00.10131</v>
      </c>
      <c r="J366" s="81" t="s">
        <v>1591</v>
      </c>
      <c r="K366" s="81" t="s">
        <v>1602</v>
      </c>
      <c r="L366" s="21" t="s">
        <v>1568</v>
      </c>
      <c r="M366" s="42"/>
      <c r="N366" s="77"/>
      <c r="O366" s="80"/>
      <c r="P366" s="80"/>
      <c r="Q366" s="76">
        <f t="shared" si="36"/>
        <v>0</v>
      </c>
      <c r="R366" s="76">
        <f t="shared" si="37"/>
        <v>0</v>
      </c>
      <c r="S366" s="76">
        <f t="shared" si="38"/>
        <v>0</v>
      </c>
      <c r="T366" s="30"/>
    </row>
    <row r="367" spans="1:20" ht="18.75" x14ac:dyDescent="0.25">
      <c r="A367" s="81" t="s">
        <v>429</v>
      </c>
      <c r="B367" s="81" t="s">
        <v>21</v>
      </c>
      <c r="C367" s="81" t="s">
        <v>62</v>
      </c>
      <c r="D367" s="81" t="s">
        <v>509</v>
      </c>
      <c r="E367" s="81" t="s">
        <v>70</v>
      </c>
      <c r="F367" s="82" t="s">
        <v>510</v>
      </c>
      <c r="G367" s="81"/>
      <c r="H367" s="81" t="s">
        <v>1520</v>
      </c>
      <c r="I367" s="83" t="str">
        <f t="shared" si="35"/>
        <v>26 05 00.10132</v>
      </c>
      <c r="J367" s="81" t="s">
        <v>1592</v>
      </c>
      <c r="K367" s="81" t="s">
        <v>1603</v>
      </c>
      <c r="L367" s="21" t="s">
        <v>1568</v>
      </c>
      <c r="M367" s="42"/>
      <c r="N367" s="77"/>
      <c r="O367" s="80"/>
      <c r="P367" s="80"/>
      <c r="Q367" s="76">
        <f t="shared" si="36"/>
        <v>0</v>
      </c>
      <c r="R367" s="76">
        <f t="shared" si="37"/>
        <v>0</v>
      </c>
      <c r="S367" s="76">
        <f t="shared" si="38"/>
        <v>0</v>
      </c>
      <c r="T367" s="30"/>
    </row>
    <row r="368" spans="1:20" ht="18.75" x14ac:dyDescent="0.25">
      <c r="A368" s="81" t="s">
        <v>429</v>
      </c>
      <c r="B368" s="81" t="s">
        <v>21</v>
      </c>
      <c r="C368" s="81" t="s">
        <v>62</v>
      </c>
      <c r="D368" s="81" t="s">
        <v>509</v>
      </c>
      <c r="E368" s="81" t="s">
        <v>70</v>
      </c>
      <c r="F368" s="82" t="s">
        <v>510</v>
      </c>
      <c r="G368" s="81"/>
      <c r="H368" s="81" t="s">
        <v>1521</v>
      </c>
      <c r="I368" s="83" t="str">
        <f t="shared" si="35"/>
        <v>26 05 00.10133</v>
      </c>
      <c r="J368" s="81" t="s">
        <v>1447</v>
      </c>
      <c r="K368" s="81" t="s">
        <v>1593</v>
      </c>
      <c r="L368" s="21" t="s">
        <v>1568</v>
      </c>
      <c r="M368" s="42"/>
      <c r="N368" s="77"/>
      <c r="O368" s="80"/>
      <c r="P368" s="80"/>
      <c r="Q368" s="76">
        <f t="shared" si="36"/>
        <v>0</v>
      </c>
      <c r="R368" s="76">
        <f t="shared" si="37"/>
        <v>0</v>
      </c>
      <c r="S368" s="76">
        <f t="shared" si="38"/>
        <v>0</v>
      </c>
      <c r="T368" s="30"/>
    </row>
    <row r="369" spans="1:20" ht="18.75" x14ac:dyDescent="0.25">
      <c r="A369" s="81" t="s">
        <v>429</v>
      </c>
      <c r="B369" s="81" t="s">
        <v>21</v>
      </c>
      <c r="C369" s="81" t="s">
        <v>62</v>
      </c>
      <c r="D369" s="81" t="s">
        <v>509</v>
      </c>
      <c r="E369" s="81" t="s">
        <v>70</v>
      </c>
      <c r="F369" s="82" t="s">
        <v>510</v>
      </c>
      <c r="G369" s="81"/>
      <c r="H369" s="81" t="s">
        <v>1522</v>
      </c>
      <c r="I369" s="83" t="str">
        <f t="shared" si="35"/>
        <v>26 05 00.10134</v>
      </c>
      <c r="J369" s="81" t="s">
        <v>1610</v>
      </c>
      <c r="K369" s="81" t="s">
        <v>1449</v>
      </c>
      <c r="L369" s="21" t="s">
        <v>1568</v>
      </c>
      <c r="M369" s="42"/>
      <c r="N369" s="77"/>
      <c r="O369" s="80"/>
      <c r="P369" s="80"/>
      <c r="Q369" s="76">
        <f t="shared" si="36"/>
        <v>0</v>
      </c>
      <c r="R369" s="76">
        <f t="shared" si="37"/>
        <v>0</v>
      </c>
      <c r="S369" s="76">
        <f t="shared" si="38"/>
        <v>0</v>
      </c>
      <c r="T369" s="30"/>
    </row>
    <row r="370" spans="1:20" ht="18.75" x14ac:dyDescent="0.25">
      <c r="A370" s="81" t="s">
        <v>429</v>
      </c>
      <c r="B370" s="81" t="s">
        <v>21</v>
      </c>
      <c r="C370" s="81" t="s">
        <v>62</v>
      </c>
      <c r="D370" s="81" t="s">
        <v>509</v>
      </c>
      <c r="E370" s="81" t="s">
        <v>70</v>
      </c>
      <c r="F370" s="82" t="s">
        <v>510</v>
      </c>
      <c r="G370" s="81"/>
      <c r="H370" s="81" t="s">
        <v>1523</v>
      </c>
      <c r="I370" s="83" t="str">
        <f t="shared" si="35"/>
        <v>26 05 00.10135</v>
      </c>
      <c r="J370" s="81" t="s">
        <v>1450</v>
      </c>
      <c r="K370" s="81" t="s">
        <v>1604</v>
      </c>
      <c r="L370" s="21" t="s">
        <v>1568</v>
      </c>
      <c r="M370" s="42"/>
      <c r="N370" s="77"/>
      <c r="O370" s="80"/>
      <c r="P370" s="80"/>
      <c r="Q370" s="76">
        <f t="shared" si="36"/>
        <v>0</v>
      </c>
      <c r="R370" s="76">
        <f t="shared" si="37"/>
        <v>0</v>
      </c>
      <c r="S370" s="76">
        <f t="shared" si="38"/>
        <v>0</v>
      </c>
      <c r="T370" s="30"/>
    </row>
    <row r="371" spans="1:20" ht="18.75" x14ac:dyDescent="0.25">
      <c r="A371" s="81" t="s">
        <v>429</v>
      </c>
      <c r="B371" s="81" t="s">
        <v>21</v>
      </c>
      <c r="C371" s="81" t="s">
        <v>62</v>
      </c>
      <c r="D371" s="81" t="s">
        <v>509</v>
      </c>
      <c r="E371" s="81" t="s">
        <v>70</v>
      </c>
      <c r="F371" s="82" t="s">
        <v>510</v>
      </c>
      <c r="G371" s="81"/>
      <c r="H371" s="81" t="s">
        <v>1524</v>
      </c>
      <c r="I371" s="83" t="str">
        <f t="shared" si="35"/>
        <v>26 05 00.10136</v>
      </c>
      <c r="J371" s="81" t="s">
        <v>1451</v>
      </c>
      <c r="K371" s="81" t="s">
        <v>1605</v>
      </c>
      <c r="L371" s="21" t="s">
        <v>1568</v>
      </c>
      <c r="M371" s="42"/>
      <c r="N371" s="77"/>
      <c r="O371" s="80"/>
      <c r="P371" s="80"/>
      <c r="Q371" s="76">
        <f t="shared" si="36"/>
        <v>0</v>
      </c>
      <c r="R371" s="76">
        <f t="shared" si="37"/>
        <v>0</v>
      </c>
      <c r="S371" s="76">
        <f t="shared" si="38"/>
        <v>0</v>
      </c>
      <c r="T371" s="30"/>
    </row>
    <row r="372" spans="1:20" ht="18.75" x14ac:dyDescent="0.25">
      <c r="A372" s="81" t="s">
        <v>429</v>
      </c>
      <c r="B372" s="81" t="s">
        <v>21</v>
      </c>
      <c r="C372" s="81" t="s">
        <v>62</v>
      </c>
      <c r="D372" s="81" t="s">
        <v>509</v>
      </c>
      <c r="E372" s="81" t="s">
        <v>70</v>
      </c>
      <c r="F372" s="82" t="s">
        <v>510</v>
      </c>
      <c r="G372" s="81"/>
      <c r="H372" s="81" t="s">
        <v>1525</v>
      </c>
      <c r="I372" s="83" t="str">
        <f t="shared" si="35"/>
        <v>26 05 00.10137</v>
      </c>
      <c r="J372" s="81" t="s">
        <v>1452</v>
      </c>
      <c r="K372" s="81" t="s">
        <v>1606</v>
      </c>
      <c r="L372" s="21" t="s">
        <v>1568</v>
      </c>
      <c r="M372" s="42"/>
      <c r="N372" s="77"/>
      <c r="O372" s="80"/>
      <c r="P372" s="80"/>
      <c r="Q372" s="76">
        <f t="shared" si="36"/>
        <v>0</v>
      </c>
      <c r="R372" s="76">
        <f t="shared" si="37"/>
        <v>0</v>
      </c>
      <c r="S372" s="76">
        <f t="shared" si="38"/>
        <v>0</v>
      </c>
      <c r="T372" s="30"/>
    </row>
    <row r="373" spans="1:20" ht="18.75" x14ac:dyDescent="0.25">
      <c r="A373" s="81" t="s">
        <v>429</v>
      </c>
      <c r="B373" s="81" t="s">
        <v>21</v>
      </c>
      <c r="C373" s="81" t="s">
        <v>62</v>
      </c>
      <c r="D373" s="81" t="s">
        <v>509</v>
      </c>
      <c r="E373" s="81" t="s">
        <v>70</v>
      </c>
      <c r="F373" s="82" t="s">
        <v>510</v>
      </c>
      <c r="G373" s="81"/>
      <c r="H373" s="81" t="s">
        <v>1526</v>
      </c>
      <c r="I373" s="83" t="str">
        <f t="shared" si="35"/>
        <v>26 05 00.10138</v>
      </c>
      <c r="J373" s="81" t="s">
        <v>1453</v>
      </c>
      <c r="K373" s="81" t="s">
        <v>1607</v>
      </c>
      <c r="L373" s="21" t="s">
        <v>1568</v>
      </c>
      <c r="M373" s="42"/>
      <c r="N373" s="77"/>
      <c r="O373" s="80"/>
      <c r="P373" s="80"/>
      <c r="Q373" s="76">
        <f t="shared" ref="Q373:Q401" si="39">IF($H373=0,0,COUNTIF(I:I,I373)-1)</f>
        <v>0</v>
      </c>
      <c r="R373" s="76">
        <f t="shared" ref="R373:R401" si="40">IF($H373=0,0,COUNTIF(J:J,J373)-1)</f>
        <v>0</v>
      </c>
      <c r="S373" s="76">
        <f t="shared" ref="S373:S401" si="41">IF($H373=0,0,COUNTIF(K:K,K373)-1)</f>
        <v>0</v>
      </c>
      <c r="T373" s="30"/>
    </row>
    <row r="374" spans="1:20" ht="18.75" x14ac:dyDescent="0.25">
      <c r="A374" s="81" t="s">
        <v>429</v>
      </c>
      <c r="B374" s="81" t="s">
        <v>21</v>
      </c>
      <c r="C374" s="81" t="s">
        <v>62</v>
      </c>
      <c r="D374" s="81" t="s">
        <v>509</v>
      </c>
      <c r="E374" s="81" t="s">
        <v>70</v>
      </c>
      <c r="F374" s="82" t="s">
        <v>510</v>
      </c>
      <c r="G374" s="81"/>
      <c r="H374" s="81" t="s">
        <v>1527</v>
      </c>
      <c r="I374" s="83" t="str">
        <f t="shared" si="35"/>
        <v>26 05 00.10139</v>
      </c>
      <c r="J374" s="81" t="s">
        <v>1454</v>
      </c>
      <c r="K374" s="81" t="s">
        <v>1594</v>
      </c>
      <c r="L374" s="21" t="s">
        <v>1568</v>
      </c>
      <c r="M374" s="42"/>
      <c r="N374" s="77"/>
      <c r="O374" s="80"/>
      <c r="P374" s="80"/>
      <c r="Q374" s="76">
        <f t="shared" si="39"/>
        <v>0</v>
      </c>
      <c r="R374" s="76">
        <f t="shared" si="40"/>
        <v>0</v>
      </c>
      <c r="S374" s="76">
        <f t="shared" si="41"/>
        <v>0</v>
      </c>
      <c r="T374" s="30"/>
    </row>
    <row r="375" spans="1:20" ht="18.75" x14ac:dyDescent="0.25">
      <c r="A375" s="81" t="s">
        <v>429</v>
      </c>
      <c r="B375" s="81" t="s">
        <v>21</v>
      </c>
      <c r="C375" s="81" t="s">
        <v>62</v>
      </c>
      <c r="D375" s="81" t="s">
        <v>509</v>
      </c>
      <c r="E375" s="81" t="s">
        <v>70</v>
      </c>
      <c r="F375" s="82" t="s">
        <v>510</v>
      </c>
      <c r="G375" s="81"/>
      <c r="H375" s="81" t="s">
        <v>1528</v>
      </c>
      <c r="I375" s="83" t="str">
        <f t="shared" si="35"/>
        <v>26 05 00.10140</v>
      </c>
      <c r="J375" s="81" t="s">
        <v>1595</v>
      </c>
      <c r="K375" s="81" t="s">
        <v>1596</v>
      </c>
      <c r="L375" s="21" t="s">
        <v>1568</v>
      </c>
      <c r="M375" s="42"/>
      <c r="N375" s="77"/>
      <c r="O375" s="80"/>
      <c r="P375" s="80"/>
      <c r="Q375" s="76">
        <f t="shared" si="39"/>
        <v>0</v>
      </c>
      <c r="R375" s="76">
        <f t="shared" si="40"/>
        <v>0</v>
      </c>
      <c r="S375" s="76">
        <f t="shared" si="41"/>
        <v>0</v>
      </c>
      <c r="T375" s="30"/>
    </row>
    <row r="376" spans="1:20" ht="18.75" x14ac:dyDescent="0.25">
      <c r="A376" s="81" t="s">
        <v>429</v>
      </c>
      <c r="B376" s="81" t="s">
        <v>21</v>
      </c>
      <c r="C376" s="81" t="s">
        <v>62</v>
      </c>
      <c r="D376" s="81" t="s">
        <v>509</v>
      </c>
      <c r="E376" s="81" t="s">
        <v>70</v>
      </c>
      <c r="F376" s="82" t="s">
        <v>510</v>
      </c>
      <c r="G376" s="81"/>
      <c r="H376" s="81" t="s">
        <v>1529</v>
      </c>
      <c r="I376" s="83" t="str">
        <f t="shared" si="35"/>
        <v>26 05 00.10141</v>
      </c>
      <c r="J376" s="81" t="s">
        <v>1386</v>
      </c>
      <c r="K376" s="81" t="s">
        <v>1387</v>
      </c>
      <c r="L376" s="21">
        <v>0</v>
      </c>
      <c r="M376" s="42"/>
      <c r="N376" s="77"/>
      <c r="O376" s="80"/>
      <c r="P376" s="80"/>
      <c r="Q376" s="76">
        <f t="shared" si="39"/>
        <v>0</v>
      </c>
      <c r="R376" s="76">
        <f t="shared" si="40"/>
        <v>0</v>
      </c>
      <c r="S376" s="76">
        <f t="shared" si="41"/>
        <v>0</v>
      </c>
      <c r="T376" s="30"/>
    </row>
    <row r="377" spans="1:20" ht="30" x14ac:dyDescent="0.25">
      <c r="A377" s="81" t="s">
        <v>429</v>
      </c>
      <c r="B377" s="81" t="s">
        <v>21</v>
      </c>
      <c r="C377" s="81" t="s">
        <v>62</v>
      </c>
      <c r="D377" s="81" t="s">
        <v>509</v>
      </c>
      <c r="E377" s="81" t="s">
        <v>70</v>
      </c>
      <c r="F377" s="82" t="s">
        <v>510</v>
      </c>
      <c r="G377" s="81"/>
      <c r="H377" s="81" t="s">
        <v>1530</v>
      </c>
      <c r="I377" s="83" t="str">
        <f t="shared" si="35"/>
        <v>26 05 00.10142</v>
      </c>
      <c r="J377" s="81" t="s">
        <v>1411</v>
      </c>
      <c r="K377" s="81" t="s">
        <v>1412</v>
      </c>
      <c r="L377" s="21" t="s">
        <v>1568</v>
      </c>
      <c r="M377" s="42"/>
      <c r="N377" s="77"/>
      <c r="O377" s="80"/>
      <c r="P377" s="80"/>
      <c r="Q377" s="76">
        <f t="shared" si="39"/>
        <v>0</v>
      </c>
      <c r="R377" s="76">
        <f t="shared" si="40"/>
        <v>0</v>
      </c>
      <c r="S377" s="76">
        <f t="shared" si="41"/>
        <v>0</v>
      </c>
      <c r="T377" s="30"/>
    </row>
    <row r="378" spans="1:20" ht="30" x14ac:dyDescent="0.25">
      <c r="A378" s="81" t="s">
        <v>429</v>
      </c>
      <c r="B378" s="81" t="s">
        <v>21</v>
      </c>
      <c r="C378" s="81" t="s">
        <v>62</v>
      </c>
      <c r="D378" s="81" t="s">
        <v>509</v>
      </c>
      <c r="E378" s="81" t="s">
        <v>70</v>
      </c>
      <c r="F378" s="82" t="s">
        <v>510</v>
      </c>
      <c r="G378" s="81"/>
      <c r="H378" s="81" t="s">
        <v>1531</v>
      </c>
      <c r="I378" s="83" t="str">
        <f t="shared" si="35"/>
        <v>26 05 00.10143</v>
      </c>
      <c r="J378" s="81" t="s">
        <v>1413</v>
      </c>
      <c r="K378" s="81" t="s">
        <v>1414</v>
      </c>
      <c r="L378" s="21" t="s">
        <v>1568</v>
      </c>
      <c r="M378" s="42"/>
      <c r="N378" s="77"/>
      <c r="O378" s="80"/>
      <c r="P378" s="80"/>
      <c r="Q378" s="76">
        <f t="shared" si="39"/>
        <v>0</v>
      </c>
      <c r="R378" s="76">
        <f t="shared" si="40"/>
        <v>0</v>
      </c>
      <c r="S378" s="76">
        <f t="shared" si="41"/>
        <v>0</v>
      </c>
      <c r="T378" s="30"/>
    </row>
    <row r="379" spans="1:20" ht="18.75" x14ac:dyDescent="0.25">
      <c r="A379" s="81" t="s">
        <v>429</v>
      </c>
      <c r="B379" s="81" t="s">
        <v>21</v>
      </c>
      <c r="C379" s="81" t="s">
        <v>62</v>
      </c>
      <c r="D379" s="81" t="s">
        <v>509</v>
      </c>
      <c r="E379" s="81" t="s">
        <v>70</v>
      </c>
      <c r="F379" s="82" t="s">
        <v>510</v>
      </c>
      <c r="G379" s="81"/>
      <c r="H379" s="81" t="s">
        <v>1532</v>
      </c>
      <c r="I379" s="83" t="str">
        <f t="shared" si="35"/>
        <v>26 05 00.10144</v>
      </c>
      <c r="J379" s="81" t="s">
        <v>1372</v>
      </c>
      <c r="K379" s="81" t="s">
        <v>1373</v>
      </c>
      <c r="L379" s="21">
        <v>0</v>
      </c>
      <c r="M379" s="42"/>
      <c r="N379" s="77"/>
      <c r="O379" s="80"/>
      <c r="P379" s="80"/>
      <c r="Q379" s="76">
        <f t="shared" si="39"/>
        <v>0</v>
      </c>
      <c r="R379" s="76">
        <f t="shared" si="40"/>
        <v>0</v>
      </c>
      <c r="S379" s="76">
        <f t="shared" si="41"/>
        <v>0</v>
      </c>
      <c r="T379" s="30"/>
    </row>
    <row r="380" spans="1:20" ht="18.75" x14ac:dyDescent="0.25">
      <c r="A380" s="81"/>
      <c r="B380" s="81"/>
      <c r="C380" s="81"/>
      <c r="D380" s="81"/>
      <c r="E380" s="81"/>
      <c r="F380" s="82"/>
      <c r="G380" s="81"/>
      <c r="H380" s="81"/>
      <c r="I380" s="83"/>
      <c r="J380" s="81"/>
      <c r="K380" s="81"/>
      <c r="L380" s="21">
        <v>0</v>
      </c>
      <c r="M380" s="42"/>
      <c r="N380" s="77"/>
      <c r="O380" s="80"/>
      <c r="P380" s="80"/>
      <c r="Q380" s="76">
        <f t="shared" si="39"/>
        <v>0</v>
      </c>
      <c r="R380" s="76">
        <f t="shared" si="40"/>
        <v>0</v>
      </c>
      <c r="S380" s="76">
        <f t="shared" si="41"/>
        <v>0</v>
      </c>
      <c r="T380" s="30"/>
    </row>
    <row r="381" spans="1:20" ht="18.75" x14ac:dyDescent="0.25">
      <c r="A381" s="81" t="s">
        <v>429</v>
      </c>
      <c r="B381" s="81" t="s">
        <v>21</v>
      </c>
      <c r="C381" s="81" t="s">
        <v>62</v>
      </c>
      <c r="D381" s="81" t="s">
        <v>509</v>
      </c>
      <c r="E381" s="81" t="s">
        <v>70</v>
      </c>
      <c r="F381" s="82" t="s">
        <v>510</v>
      </c>
      <c r="G381" s="81"/>
      <c r="H381" s="81" t="s">
        <v>1533</v>
      </c>
      <c r="I381" s="83" t="str">
        <f t="shared" si="35"/>
        <v>26 05 00.10146</v>
      </c>
      <c r="J381" s="81" t="s">
        <v>1364</v>
      </c>
      <c r="K381" s="81" t="s">
        <v>1365</v>
      </c>
      <c r="L381" s="21">
        <v>0</v>
      </c>
      <c r="M381" s="42"/>
      <c r="N381" s="77"/>
      <c r="O381" s="80"/>
      <c r="P381" s="80"/>
      <c r="Q381" s="76">
        <f t="shared" si="39"/>
        <v>0</v>
      </c>
      <c r="R381" s="76">
        <f t="shared" si="40"/>
        <v>0</v>
      </c>
      <c r="S381" s="76">
        <f t="shared" si="41"/>
        <v>0</v>
      </c>
      <c r="T381" s="30"/>
    </row>
    <row r="382" spans="1:20" ht="18.75" x14ac:dyDescent="0.25">
      <c r="A382" s="81" t="s">
        <v>429</v>
      </c>
      <c r="B382" s="81" t="s">
        <v>21</v>
      </c>
      <c r="C382" s="81" t="s">
        <v>62</v>
      </c>
      <c r="D382" s="81" t="s">
        <v>509</v>
      </c>
      <c r="E382" s="81" t="s">
        <v>70</v>
      </c>
      <c r="F382" s="82" t="s">
        <v>510</v>
      </c>
      <c r="G382" s="81"/>
      <c r="H382" s="81" t="s">
        <v>1534</v>
      </c>
      <c r="I382" s="83" t="str">
        <f t="shared" si="35"/>
        <v>26 05 00.10147</v>
      </c>
      <c r="J382" s="81" t="s">
        <v>1309</v>
      </c>
      <c r="K382" s="81" t="s">
        <v>1309</v>
      </c>
      <c r="L382" s="21" t="s">
        <v>1569</v>
      </c>
      <c r="M382" s="42"/>
      <c r="N382" s="77"/>
      <c r="O382" s="80"/>
      <c r="P382" s="80"/>
      <c r="Q382" s="76">
        <f t="shared" si="39"/>
        <v>0</v>
      </c>
      <c r="R382" s="76">
        <f t="shared" si="40"/>
        <v>0</v>
      </c>
      <c r="S382" s="76">
        <f t="shared" si="41"/>
        <v>0</v>
      </c>
      <c r="T382" s="30"/>
    </row>
    <row r="383" spans="1:20" ht="18.75" x14ac:dyDescent="0.25">
      <c r="A383" s="81" t="s">
        <v>429</v>
      </c>
      <c r="B383" s="81" t="s">
        <v>21</v>
      </c>
      <c r="C383" s="81" t="s">
        <v>62</v>
      </c>
      <c r="D383" s="81" t="s">
        <v>509</v>
      </c>
      <c r="E383" s="81" t="s">
        <v>70</v>
      </c>
      <c r="F383" s="82" t="s">
        <v>510</v>
      </c>
      <c r="G383" s="81"/>
      <c r="H383" s="81" t="s">
        <v>1535</v>
      </c>
      <c r="I383" s="83" t="str">
        <f t="shared" si="35"/>
        <v>26 05 00.10148</v>
      </c>
      <c r="J383" s="81" t="s">
        <v>1388</v>
      </c>
      <c r="K383" s="81" t="s">
        <v>1389</v>
      </c>
      <c r="L383" s="21">
        <v>0</v>
      </c>
      <c r="M383" s="42"/>
      <c r="N383" s="77"/>
      <c r="O383" s="80"/>
      <c r="P383" s="80"/>
      <c r="Q383" s="76">
        <f t="shared" si="39"/>
        <v>0</v>
      </c>
      <c r="R383" s="76">
        <f t="shared" si="40"/>
        <v>0</v>
      </c>
      <c r="S383" s="76">
        <f t="shared" si="41"/>
        <v>0</v>
      </c>
      <c r="T383" s="30"/>
    </row>
    <row r="384" spans="1:20" ht="18.75" x14ac:dyDescent="0.25">
      <c r="A384" s="81" t="s">
        <v>429</v>
      </c>
      <c r="B384" s="81" t="s">
        <v>21</v>
      </c>
      <c r="C384" s="81" t="s">
        <v>62</v>
      </c>
      <c r="D384" s="81" t="s">
        <v>509</v>
      </c>
      <c r="E384" s="81" t="s">
        <v>70</v>
      </c>
      <c r="F384" s="82" t="s">
        <v>510</v>
      </c>
      <c r="G384" s="81"/>
      <c r="H384" s="81" t="s">
        <v>1536</v>
      </c>
      <c r="I384" s="83" t="str">
        <f t="shared" si="35"/>
        <v>26 05 00.10149</v>
      </c>
      <c r="J384" s="81" t="s">
        <v>1392</v>
      </c>
      <c r="K384" s="81" t="s">
        <v>1393</v>
      </c>
      <c r="L384" s="21">
        <v>0</v>
      </c>
      <c r="M384" s="42"/>
      <c r="N384" s="77"/>
      <c r="O384" s="80"/>
      <c r="P384" s="80"/>
      <c r="Q384" s="76">
        <f t="shared" si="39"/>
        <v>0</v>
      </c>
      <c r="R384" s="76">
        <f t="shared" si="40"/>
        <v>0</v>
      </c>
      <c r="S384" s="76">
        <f t="shared" si="41"/>
        <v>0</v>
      </c>
      <c r="T384" s="30"/>
    </row>
    <row r="385" spans="1:20" ht="18.75" x14ac:dyDescent="0.25">
      <c r="A385" s="81" t="s">
        <v>429</v>
      </c>
      <c r="B385" s="81" t="s">
        <v>21</v>
      </c>
      <c r="C385" s="81" t="s">
        <v>62</v>
      </c>
      <c r="D385" s="81" t="s">
        <v>509</v>
      </c>
      <c r="E385" s="81" t="s">
        <v>70</v>
      </c>
      <c r="F385" s="82" t="s">
        <v>510</v>
      </c>
      <c r="G385" s="81"/>
      <c r="H385" s="81" t="s">
        <v>1537</v>
      </c>
      <c r="I385" s="83" t="str">
        <f t="shared" si="35"/>
        <v>26 05 00.10150</v>
      </c>
      <c r="J385" s="81" t="s">
        <v>1396</v>
      </c>
      <c r="K385" s="81" t="s">
        <v>1397</v>
      </c>
      <c r="L385" s="21">
        <v>0</v>
      </c>
      <c r="M385" s="42"/>
      <c r="N385" s="77"/>
      <c r="O385" s="80"/>
      <c r="P385" s="80"/>
      <c r="Q385" s="76">
        <f t="shared" si="39"/>
        <v>0</v>
      </c>
      <c r="R385" s="76">
        <f t="shared" si="40"/>
        <v>0</v>
      </c>
      <c r="S385" s="76">
        <f t="shared" si="41"/>
        <v>0</v>
      </c>
      <c r="T385" s="30"/>
    </row>
    <row r="386" spans="1:20" ht="18.75" x14ac:dyDescent="0.25">
      <c r="A386" s="81" t="s">
        <v>429</v>
      </c>
      <c r="B386" s="81" t="s">
        <v>21</v>
      </c>
      <c r="C386" s="81" t="s">
        <v>62</v>
      </c>
      <c r="D386" s="81" t="s">
        <v>509</v>
      </c>
      <c r="E386" s="81" t="s">
        <v>70</v>
      </c>
      <c r="F386" s="82" t="s">
        <v>510</v>
      </c>
      <c r="G386" s="81"/>
      <c r="H386" s="81" t="s">
        <v>1538</v>
      </c>
      <c r="I386" s="83" t="str">
        <f t="shared" si="35"/>
        <v>26 05 00.10151</v>
      </c>
      <c r="J386" s="81" t="s">
        <v>1398</v>
      </c>
      <c r="K386" s="81" t="s">
        <v>1399</v>
      </c>
      <c r="L386" s="21">
        <v>0</v>
      </c>
      <c r="M386" s="42"/>
      <c r="N386" s="77"/>
      <c r="O386" s="80"/>
      <c r="P386" s="80"/>
      <c r="Q386" s="76">
        <f t="shared" si="39"/>
        <v>0</v>
      </c>
      <c r="R386" s="76">
        <f t="shared" si="40"/>
        <v>0</v>
      </c>
      <c r="S386" s="76">
        <f t="shared" si="41"/>
        <v>0</v>
      </c>
      <c r="T386" s="30"/>
    </row>
    <row r="387" spans="1:20" ht="18.75" x14ac:dyDescent="0.25">
      <c r="A387" s="81" t="s">
        <v>429</v>
      </c>
      <c r="B387" s="81" t="s">
        <v>21</v>
      </c>
      <c r="C387" s="81" t="s">
        <v>62</v>
      </c>
      <c r="D387" s="81" t="s">
        <v>509</v>
      </c>
      <c r="E387" s="81" t="s">
        <v>70</v>
      </c>
      <c r="F387" s="82" t="s">
        <v>510</v>
      </c>
      <c r="G387" s="81"/>
      <c r="H387" s="81" t="s">
        <v>1539</v>
      </c>
      <c r="I387" s="83" t="str">
        <f t="shared" si="35"/>
        <v>26 05 00.10152</v>
      </c>
      <c r="J387" s="81" t="s">
        <v>1400</v>
      </c>
      <c r="K387" s="81" t="s">
        <v>1401</v>
      </c>
      <c r="L387" s="21">
        <v>0</v>
      </c>
      <c r="M387" s="42"/>
      <c r="N387" s="77"/>
      <c r="O387" s="80"/>
      <c r="P387" s="80"/>
      <c r="Q387" s="76">
        <f t="shared" si="39"/>
        <v>0</v>
      </c>
      <c r="R387" s="76">
        <f t="shared" si="40"/>
        <v>0</v>
      </c>
      <c r="S387" s="76">
        <f t="shared" si="41"/>
        <v>0</v>
      </c>
      <c r="T387" s="30"/>
    </row>
    <row r="388" spans="1:20" ht="18.75" x14ac:dyDescent="0.25">
      <c r="A388" s="81" t="s">
        <v>429</v>
      </c>
      <c r="B388" s="81" t="s">
        <v>21</v>
      </c>
      <c r="C388" s="81" t="s">
        <v>62</v>
      </c>
      <c r="D388" s="81" t="s">
        <v>509</v>
      </c>
      <c r="E388" s="81" t="s">
        <v>70</v>
      </c>
      <c r="F388" s="82" t="s">
        <v>510</v>
      </c>
      <c r="G388" s="81"/>
      <c r="H388" s="81" t="s">
        <v>1540</v>
      </c>
      <c r="I388" s="83" t="str">
        <f t="shared" si="35"/>
        <v>26 05 00.10153</v>
      </c>
      <c r="J388" s="81" t="s">
        <v>1402</v>
      </c>
      <c r="K388" s="81" t="s">
        <v>1403</v>
      </c>
      <c r="L388" s="21">
        <v>0</v>
      </c>
      <c r="M388" s="42"/>
      <c r="N388" s="77"/>
      <c r="O388" s="80"/>
      <c r="P388" s="80"/>
      <c r="Q388" s="76">
        <f t="shared" si="39"/>
        <v>0</v>
      </c>
      <c r="R388" s="76">
        <f t="shared" si="40"/>
        <v>0</v>
      </c>
      <c r="S388" s="76">
        <f t="shared" si="41"/>
        <v>0</v>
      </c>
      <c r="T388" s="30"/>
    </row>
    <row r="389" spans="1:20" ht="18.75" x14ac:dyDescent="0.25">
      <c r="A389" s="81" t="s">
        <v>429</v>
      </c>
      <c r="B389" s="81" t="s">
        <v>21</v>
      </c>
      <c r="C389" s="81" t="s">
        <v>62</v>
      </c>
      <c r="D389" s="81" t="s">
        <v>509</v>
      </c>
      <c r="E389" s="81" t="s">
        <v>70</v>
      </c>
      <c r="F389" s="82" t="s">
        <v>510</v>
      </c>
      <c r="G389" s="81"/>
      <c r="H389" s="81" t="s">
        <v>1541</v>
      </c>
      <c r="I389" s="83" t="str">
        <f t="shared" si="35"/>
        <v>26 05 00.10154</v>
      </c>
      <c r="J389" s="81" t="s">
        <v>1404</v>
      </c>
      <c r="K389" s="81" t="s">
        <v>1405</v>
      </c>
      <c r="L389" s="21">
        <v>0</v>
      </c>
      <c r="M389" s="42"/>
      <c r="N389" s="77"/>
      <c r="O389" s="80"/>
      <c r="P389" s="80"/>
      <c r="Q389" s="76">
        <f t="shared" si="39"/>
        <v>0</v>
      </c>
      <c r="R389" s="76">
        <f t="shared" si="40"/>
        <v>0</v>
      </c>
      <c r="S389" s="76">
        <f t="shared" si="41"/>
        <v>0</v>
      </c>
      <c r="T389" s="30"/>
    </row>
    <row r="390" spans="1:20" ht="18.75" x14ac:dyDescent="0.25">
      <c r="A390" s="81" t="s">
        <v>429</v>
      </c>
      <c r="B390" s="81" t="s">
        <v>21</v>
      </c>
      <c r="C390" s="81" t="s">
        <v>62</v>
      </c>
      <c r="D390" s="81" t="s">
        <v>509</v>
      </c>
      <c r="E390" s="81" t="s">
        <v>70</v>
      </c>
      <c r="F390" s="82" t="s">
        <v>510</v>
      </c>
      <c r="G390" s="81"/>
      <c r="H390" s="81" t="s">
        <v>1542</v>
      </c>
      <c r="I390" s="83" t="str">
        <f t="shared" si="35"/>
        <v>26 05 00.10155</v>
      </c>
      <c r="J390" s="81" t="s">
        <v>1406</v>
      </c>
      <c r="K390" s="81" t="s">
        <v>1407</v>
      </c>
      <c r="L390" s="21">
        <v>0</v>
      </c>
      <c r="M390" s="42"/>
      <c r="N390" s="77"/>
      <c r="O390" s="80"/>
      <c r="P390" s="80"/>
      <c r="Q390" s="76">
        <f t="shared" si="39"/>
        <v>0</v>
      </c>
      <c r="R390" s="76">
        <f t="shared" si="40"/>
        <v>0</v>
      </c>
      <c r="S390" s="76">
        <f t="shared" si="41"/>
        <v>0</v>
      </c>
      <c r="T390" s="30"/>
    </row>
    <row r="391" spans="1:20" ht="30" x14ac:dyDescent="0.25">
      <c r="A391" s="81" t="s">
        <v>429</v>
      </c>
      <c r="B391" s="81" t="s">
        <v>21</v>
      </c>
      <c r="C391" s="81" t="s">
        <v>62</v>
      </c>
      <c r="D391" s="81" t="s">
        <v>509</v>
      </c>
      <c r="E391" s="81" t="s">
        <v>70</v>
      </c>
      <c r="F391" s="82" t="s">
        <v>510</v>
      </c>
      <c r="G391" s="81"/>
      <c r="H391" s="81" t="s">
        <v>1543</v>
      </c>
      <c r="I391" s="83" t="str">
        <f t="shared" si="35"/>
        <v>26 05 00.10156</v>
      </c>
      <c r="J391" s="81" t="s">
        <v>1442</v>
      </c>
      <c r="K391" s="81" t="s">
        <v>1571</v>
      </c>
      <c r="L391" s="21" t="s">
        <v>1568</v>
      </c>
      <c r="M391" s="42"/>
      <c r="N391" s="77"/>
      <c r="O391" s="80"/>
      <c r="P391" s="80"/>
      <c r="Q391" s="76">
        <f t="shared" si="39"/>
        <v>0</v>
      </c>
      <c r="R391" s="76">
        <f t="shared" si="40"/>
        <v>0</v>
      </c>
      <c r="S391" s="76">
        <f t="shared" si="41"/>
        <v>0</v>
      </c>
      <c r="T391" s="30"/>
    </row>
    <row r="392" spans="1:20" ht="18.75" x14ac:dyDescent="0.25">
      <c r="A392" s="81" t="s">
        <v>429</v>
      </c>
      <c r="B392" s="81" t="s">
        <v>21</v>
      </c>
      <c r="C392" s="81" t="s">
        <v>62</v>
      </c>
      <c r="D392" s="81" t="s">
        <v>509</v>
      </c>
      <c r="E392" s="81" t="s">
        <v>70</v>
      </c>
      <c r="F392" s="82" t="s">
        <v>510</v>
      </c>
      <c r="G392" s="81"/>
      <c r="H392" s="81" t="s">
        <v>1544</v>
      </c>
      <c r="I392" s="83" t="str">
        <f t="shared" si="35"/>
        <v>26 05 00.10157</v>
      </c>
      <c r="J392" s="81" t="s">
        <v>1445</v>
      </c>
      <c r="K392" s="81" t="s">
        <v>1572</v>
      </c>
      <c r="L392" s="21" t="s">
        <v>1568</v>
      </c>
      <c r="M392" s="42"/>
      <c r="N392" s="77"/>
      <c r="O392" s="80"/>
      <c r="P392" s="80"/>
      <c r="Q392" s="76">
        <f t="shared" si="39"/>
        <v>0</v>
      </c>
      <c r="R392" s="76">
        <f t="shared" si="40"/>
        <v>0</v>
      </c>
      <c r="S392" s="76">
        <f t="shared" si="41"/>
        <v>0</v>
      </c>
      <c r="T392" s="30"/>
    </row>
    <row r="393" spans="1:20" ht="18.75" x14ac:dyDescent="0.25">
      <c r="A393" s="81" t="s">
        <v>429</v>
      </c>
      <c r="B393" s="81" t="s">
        <v>21</v>
      </c>
      <c r="C393" s="81" t="s">
        <v>62</v>
      </c>
      <c r="D393" s="81" t="s">
        <v>509</v>
      </c>
      <c r="E393" s="81" t="s">
        <v>70</v>
      </c>
      <c r="F393" s="82" t="s">
        <v>510</v>
      </c>
      <c r="G393" s="81"/>
      <c r="H393" s="81" t="s">
        <v>1545</v>
      </c>
      <c r="I393" s="83" t="str">
        <f t="shared" si="35"/>
        <v>26 05 00.10158</v>
      </c>
      <c r="J393" s="81" t="s">
        <v>1446</v>
      </c>
      <c r="K393" s="81" t="s">
        <v>1573</v>
      </c>
      <c r="L393" s="21" t="s">
        <v>1568</v>
      </c>
      <c r="M393" s="42"/>
      <c r="N393" s="77"/>
      <c r="O393" s="80"/>
      <c r="P393" s="80"/>
      <c r="Q393" s="76">
        <f t="shared" si="39"/>
        <v>0</v>
      </c>
      <c r="R393" s="76">
        <f t="shared" si="40"/>
        <v>0</v>
      </c>
      <c r="S393" s="76">
        <f t="shared" si="41"/>
        <v>0</v>
      </c>
      <c r="T393" s="30"/>
    </row>
    <row r="394" spans="1:20" ht="18.75" x14ac:dyDescent="0.25">
      <c r="A394" s="81" t="s">
        <v>429</v>
      </c>
      <c r="B394" s="81" t="s">
        <v>21</v>
      </c>
      <c r="C394" s="81" t="s">
        <v>62</v>
      </c>
      <c r="D394" s="81" t="s">
        <v>509</v>
      </c>
      <c r="E394" s="81" t="s">
        <v>70</v>
      </c>
      <c r="F394" s="82" t="s">
        <v>510</v>
      </c>
      <c r="G394" s="81"/>
      <c r="H394" s="81" t="s">
        <v>1546</v>
      </c>
      <c r="I394" s="83" t="str">
        <f t="shared" si="35"/>
        <v>26 05 00.10159</v>
      </c>
      <c r="J394" s="81" t="s">
        <v>1448</v>
      </c>
      <c r="K394" s="81" t="s">
        <v>1574</v>
      </c>
      <c r="L394" s="21" t="s">
        <v>1568</v>
      </c>
      <c r="M394" s="42"/>
      <c r="N394" s="77"/>
      <c r="O394" s="80"/>
      <c r="P394" s="80"/>
      <c r="Q394" s="76">
        <f t="shared" si="39"/>
        <v>0</v>
      </c>
      <c r="R394" s="76">
        <f t="shared" si="40"/>
        <v>0</v>
      </c>
      <c r="S394" s="76">
        <f t="shared" si="41"/>
        <v>0</v>
      </c>
      <c r="T394" s="30"/>
    </row>
    <row r="395" spans="1:20" ht="18.75" x14ac:dyDescent="0.25">
      <c r="A395" s="81"/>
      <c r="B395" s="81"/>
      <c r="C395" s="81"/>
      <c r="D395" s="81"/>
      <c r="E395" s="81"/>
      <c r="F395" s="82"/>
      <c r="G395" s="81"/>
      <c r="H395" s="81"/>
      <c r="I395" s="83"/>
      <c r="J395" s="81"/>
      <c r="K395" s="81"/>
      <c r="L395" s="21" t="s">
        <v>1568</v>
      </c>
      <c r="M395" s="42"/>
      <c r="N395" s="77"/>
      <c r="O395" s="80"/>
      <c r="P395" s="80"/>
      <c r="Q395" s="76">
        <f t="shared" si="39"/>
        <v>0</v>
      </c>
      <c r="R395" s="76">
        <f t="shared" si="40"/>
        <v>0</v>
      </c>
      <c r="S395" s="76">
        <f t="shared" si="41"/>
        <v>0</v>
      </c>
      <c r="T395" s="30"/>
    </row>
    <row r="396" spans="1:20" ht="18.75" x14ac:dyDescent="0.25">
      <c r="A396" s="81" t="s">
        <v>429</v>
      </c>
      <c r="B396" s="81" t="s">
        <v>21</v>
      </c>
      <c r="C396" s="81" t="s">
        <v>62</v>
      </c>
      <c r="D396" s="81" t="s">
        <v>509</v>
      </c>
      <c r="E396" s="81" t="s">
        <v>70</v>
      </c>
      <c r="F396" s="82" t="s">
        <v>510</v>
      </c>
      <c r="G396" s="81"/>
      <c r="H396" s="81" t="s">
        <v>1547</v>
      </c>
      <c r="I396" s="83" t="str">
        <f t="shared" ref="I396:I417" si="42">_xlfn.CONCAT(A396," ",C396," ",E396,H396)</f>
        <v>26 05 00.10161</v>
      </c>
      <c r="J396" s="81" t="s">
        <v>1303</v>
      </c>
      <c r="K396" s="81" t="s">
        <v>1304</v>
      </c>
      <c r="L396" s="21" t="s">
        <v>1568</v>
      </c>
      <c r="M396" s="42"/>
      <c r="N396" s="77"/>
      <c r="O396" s="80"/>
      <c r="P396" s="80"/>
      <c r="Q396" s="76">
        <f t="shared" si="39"/>
        <v>0</v>
      </c>
      <c r="R396" s="76">
        <f t="shared" si="40"/>
        <v>0</v>
      </c>
      <c r="S396" s="76">
        <f t="shared" si="41"/>
        <v>0</v>
      </c>
      <c r="T396" s="30"/>
    </row>
    <row r="397" spans="1:20" ht="18.75" x14ac:dyDescent="0.25">
      <c r="A397" s="81" t="s">
        <v>429</v>
      </c>
      <c r="B397" s="81" t="s">
        <v>21</v>
      </c>
      <c r="C397" s="81" t="s">
        <v>62</v>
      </c>
      <c r="D397" s="81" t="s">
        <v>509</v>
      </c>
      <c r="E397" s="81" t="s">
        <v>70</v>
      </c>
      <c r="F397" s="82" t="s">
        <v>510</v>
      </c>
      <c r="G397" s="81"/>
      <c r="H397" s="81" t="s">
        <v>1548</v>
      </c>
      <c r="I397" s="83" t="str">
        <f t="shared" si="42"/>
        <v>26 05 00.10162</v>
      </c>
      <c r="J397" s="81" t="s">
        <v>1305</v>
      </c>
      <c r="K397" s="81" t="s">
        <v>1306</v>
      </c>
      <c r="L397" s="21" t="s">
        <v>1568</v>
      </c>
      <c r="M397" s="42"/>
      <c r="N397" s="77"/>
      <c r="O397" s="80"/>
      <c r="P397" s="80"/>
      <c r="Q397" s="76">
        <f t="shared" si="39"/>
        <v>0</v>
      </c>
      <c r="R397" s="76">
        <f t="shared" si="40"/>
        <v>0</v>
      </c>
      <c r="S397" s="76">
        <f t="shared" si="41"/>
        <v>0</v>
      </c>
      <c r="T397" s="30"/>
    </row>
    <row r="398" spans="1:20" ht="18.75" x14ac:dyDescent="0.25">
      <c r="A398" s="81" t="s">
        <v>429</v>
      </c>
      <c r="B398" s="81" t="s">
        <v>21</v>
      </c>
      <c r="C398" s="81" t="s">
        <v>62</v>
      </c>
      <c r="D398" s="81" t="s">
        <v>509</v>
      </c>
      <c r="E398" s="81" t="s">
        <v>70</v>
      </c>
      <c r="F398" s="82" t="s">
        <v>510</v>
      </c>
      <c r="G398" s="81"/>
      <c r="H398" s="81" t="s">
        <v>1549</v>
      </c>
      <c r="I398" s="83" t="str">
        <f t="shared" si="42"/>
        <v>26 05 00.10163</v>
      </c>
      <c r="J398" s="81" t="s">
        <v>1307</v>
      </c>
      <c r="K398" s="81" t="s">
        <v>1308</v>
      </c>
      <c r="L398" s="21" t="s">
        <v>1568</v>
      </c>
      <c r="M398" s="42"/>
      <c r="N398" s="77"/>
      <c r="O398" s="80"/>
      <c r="P398" s="80"/>
      <c r="Q398" s="76">
        <f t="shared" si="39"/>
        <v>0</v>
      </c>
      <c r="R398" s="76">
        <f t="shared" si="40"/>
        <v>0</v>
      </c>
      <c r="S398" s="76">
        <f t="shared" si="41"/>
        <v>0</v>
      </c>
      <c r="T398" s="30"/>
    </row>
    <row r="399" spans="1:20" ht="18.75" x14ac:dyDescent="0.25">
      <c r="A399" s="81" t="s">
        <v>429</v>
      </c>
      <c r="B399" s="81" t="s">
        <v>21</v>
      </c>
      <c r="C399" s="81" t="s">
        <v>62</v>
      </c>
      <c r="D399" s="81" t="s">
        <v>509</v>
      </c>
      <c r="E399" s="81" t="s">
        <v>70</v>
      </c>
      <c r="F399" s="82" t="s">
        <v>510</v>
      </c>
      <c r="G399" s="81"/>
      <c r="H399" s="81" t="s">
        <v>1550</v>
      </c>
      <c r="I399" s="83" t="str">
        <f t="shared" si="42"/>
        <v>26 05 00.10164</v>
      </c>
      <c r="J399" s="81" t="s">
        <v>1458</v>
      </c>
      <c r="K399" s="81" t="s">
        <v>1321</v>
      </c>
      <c r="L399" s="21" t="s">
        <v>1568</v>
      </c>
      <c r="M399" s="42"/>
      <c r="N399" s="77"/>
      <c r="O399" s="80"/>
      <c r="P399" s="80"/>
      <c r="Q399" s="76">
        <f t="shared" si="39"/>
        <v>0</v>
      </c>
      <c r="R399" s="76">
        <f t="shared" si="40"/>
        <v>0</v>
      </c>
      <c r="S399" s="76">
        <f t="shared" si="41"/>
        <v>0</v>
      </c>
      <c r="T399" s="30"/>
    </row>
    <row r="400" spans="1:20" ht="18.75" x14ac:dyDescent="0.25">
      <c r="A400" s="81" t="s">
        <v>429</v>
      </c>
      <c r="B400" s="81" t="s">
        <v>21</v>
      </c>
      <c r="C400" s="81" t="s">
        <v>62</v>
      </c>
      <c r="D400" s="81" t="s">
        <v>509</v>
      </c>
      <c r="E400" s="81" t="s">
        <v>70</v>
      </c>
      <c r="F400" s="82" t="s">
        <v>510</v>
      </c>
      <c r="G400" s="81"/>
      <c r="H400" s="81" t="s">
        <v>1551</v>
      </c>
      <c r="I400" s="83" t="str">
        <f t="shared" si="42"/>
        <v>26 05 00.10165</v>
      </c>
      <c r="J400" s="81" t="s">
        <v>1338</v>
      </c>
      <c r="K400" s="81" t="s">
        <v>1339</v>
      </c>
      <c r="L400" s="21" t="s">
        <v>1568</v>
      </c>
      <c r="M400" s="42"/>
      <c r="N400" s="77"/>
      <c r="O400" s="80"/>
      <c r="P400" s="80"/>
      <c r="Q400" s="76">
        <f t="shared" si="39"/>
        <v>0</v>
      </c>
      <c r="R400" s="76">
        <f t="shared" si="40"/>
        <v>0</v>
      </c>
      <c r="S400" s="76">
        <f t="shared" si="41"/>
        <v>0</v>
      </c>
      <c r="T400" s="30"/>
    </row>
    <row r="401" spans="1:20" ht="18.75" x14ac:dyDescent="0.25">
      <c r="A401" s="81" t="s">
        <v>429</v>
      </c>
      <c r="B401" s="81" t="s">
        <v>21</v>
      </c>
      <c r="C401" s="81" t="s">
        <v>62</v>
      </c>
      <c r="D401" s="81" t="s">
        <v>509</v>
      </c>
      <c r="E401" s="81" t="s">
        <v>70</v>
      </c>
      <c r="F401" s="82" t="s">
        <v>510</v>
      </c>
      <c r="G401" s="81"/>
      <c r="H401" s="81" t="s">
        <v>1552</v>
      </c>
      <c r="I401" s="83" t="str">
        <f t="shared" si="42"/>
        <v>26 05 00.10166</v>
      </c>
      <c r="J401" s="81" t="s">
        <v>1340</v>
      </c>
      <c r="K401" s="81" t="s">
        <v>1341</v>
      </c>
      <c r="L401" s="21" t="s">
        <v>1568</v>
      </c>
      <c r="M401" s="42"/>
      <c r="N401" s="77"/>
      <c r="O401" s="80"/>
      <c r="P401" s="80"/>
      <c r="Q401" s="76">
        <f t="shared" si="39"/>
        <v>0</v>
      </c>
      <c r="R401" s="76">
        <f t="shared" si="40"/>
        <v>0</v>
      </c>
      <c r="S401" s="76">
        <f t="shared" si="41"/>
        <v>0</v>
      </c>
      <c r="T401" s="30"/>
    </row>
    <row r="402" spans="1:20" ht="18.75" x14ac:dyDescent="0.25">
      <c r="A402" s="81"/>
      <c r="B402" s="81"/>
      <c r="C402" s="81"/>
      <c r="D402" s="81"/>
      <c r="E402" s="81"/>
      <c r="F402" s="82"/>
      <c r="G402" s="81"/>
      <c r="H402" s="81"/>
      <c r="I402" s="83"/>
      <c r="J402" s="81"/>
      <c r="K402" s="81"/>
      <c r="L402" s="21"/>
      <c r="M402" s="42"/>
      <c r="N402" s="77"/>
      <c r="O402" s="80"/>
      <c r="P402" s="80"/>
      <c r="Q402" s="76"/>
      <c r="R402" s="76"/>
      <c r="S402" s="76"/>
      <c r="T402" s="30"/>
    </row>
    <row r="403" spans="1:20" ht="18.75" x14ac:dyDescent="0.25">
      <c r="A403" s="81" t="s">
        <v>429</v>
      </c>
      <c r="B403" s="81" t="s">
        <v>21</v>
      </c>
      <c r="C403" s="81" t="s">
        <v>62</v>
      </c>
      <c r="D403" s="81" t="s">
        <v>509</v>
      </c>
      <c r="E403" s="81" t="s">
        <v>70</v>
      </c>
      <c r="F403" s="82" t="s">
        <v>510</v>
      </c>
      <c r="G403" s="81"/>
      <c r="H403" s="81" t="s">
        <v>1553</v>
      </c>
      <c r="I403" s="83" t="str">
        <f t="shared" si="42"/>
        <v>26 05 00.10168</v>
      </c>
      <c r="J403" s="81" t="s">
        <v>1356</v>
      </c>
      <c r="K403" s="81" t="s">
        <v>1357</v>
      </c>
      <c r="L403" s="21" t="s">
        <v>1568</v>
      </c>
      <c r="M403" s="42"/>
      <c r="N403" s="77"/>
      <c r="O403" s="80"/>
      <c r="P403" s="80"/>
      <c r="Q403" s="76">
        <f t="shared" ref="Q403:Q417" si="43">IF($H403=0,0,COUNTIF(I:I,I403)-1)</f>
        <v>0</v>
      </c>
      <c r="R403" s="76">
        <f t="shared" ref="R403:R417" si="44">IF($H403=0,0,COUNTIF(J:J,J403)-1)</f>
        <v>0</v>
      </c>
      <c r="S403" s="76">
        <f t="shared" ref="S403:S417" si="45">IF($H403=0,0,COUNTIF(K:K,K403)-1)</f>
        <v>0</v>
      </c>
      <c r="T403" s="30"/>
    </row>
    <row r="404" spans="1:20" ht="18.75" x14ac:dyDescent="0.25">
      <c r="A404" s="81" t="s">
        <v>429</v>
      </c>
      <c r="B404" s="81" t="s">
        <v>21</v>
      </c>
      <c r="C404" s="81" t="s">
        <v>62</v>
      </c>
      <c r="D404" s="81" t="s">
        <v>509</v>
      </c>
      <c r="E404" s="81" t="s">
        <v>70</v>
      </c>
      <c r="F404" s="82" t="s">
        <v>510</v>
      </c>
      <c r="G404" s="81"/>
      <c r="H404" s="81" t="s">
        <v>1554</v>
      </c>
      <c r="I404" s="83" t="str">
        <f t="shared" si="42"/>
        <v>26 05 00.10169</v>
      </c>
      <c r="J404" s="81" t="s">
        <v>1359</v>
      </c>
      <c r="K404" s="81" t="s">
        <v>1575</v>
      </c>
      <c r="L404" s="21" t="s">
        <v>1568</v>
      </c>
      <c r="M404" s="42"/>
      <c r="N404" s="77"/>
      <c r="O404" s="80"/>
      <c r="P404" s="80"/>
      <c r="Q404" s="76">
        <f t="shared" si="43"/>
        <v>0</v>
      </c>
      <c r="R404" s="76">
        <f t="shared" si="44"/>
        <v>0</v>
      </c>
      <c r="S404" s="76">
        <f t="shared" si="45"/>
        <v>0</v>
      </c>
      <c r="T404" s="30"/>
    </row>
    <row r="405" spans="1:20" ht="18.75" x14ac:dyDescent="0.25">
      <c r="A405" s="81" t="s">
        <v>429</v>
      </c>
      <c r="B405" s="81" t="s">
        <v>21</v>
      </c>
      <c r="C405" s="81" t="s">
        <v>62</v>
      </c>
      <c r="D405" s="81" t="s">
        <v>509</v>
      </c>
      <c r="E405" s="81" t="s">
        <v>70</v>
      </c>
      <c r="F405" s="82" t="s">
        <v>510</v>
      </c>
      <c r="G405" s="81"/>
      <c r="H405" s="81" t="s">
        <v>1555</v>
      </c>
      <c r="I405" s="83" t="str">
        <f t="shared" si="42"/>
        <v>26 05 00.10170</v>
      </c>
      <c r="J405" s="81" t="s">
        <v>1362</v>
      </c>
      <c r="K405" s="81" t="s">
        <v>1363</v>
      </c>
      <c r="L405" s="21">
        <v>0</v>
      </c>
      <c r="M405" s="42"/>
      <c r="N405" s="77"/>
      <c r="O405" s="80"/>
      <c r="P405" s="80"/>
      <c r="Q405" s="76">
        <f t="shared" si="43"/>
        <v>0</v>
      </c>
      <c r="R405" s="76">
        <f t="shared" si="44"/>
        <v>0</v>
      </c>
      <c r="S405" s="76">
        <f t="shared" si="45"/>
        <v>0</v>
      </c>
      <c r="T405" s="30"/>
    </row>
    <row r="406" spans="1:20" ht="18.75" x14ac:dyDescent="0.25">
      <c r="A406" s="81" t="s">
        <v>429</v>
      </c>
      <c r="B406" s="81" t="s">
        <v>21</v>
      </c>
      <c r="C406" s="81" t="s">
        <v>62</v>
      </c>
      <c r="D406" s="81" t="s">
        <v>509</v>
      </c>
      <c r="E406" s="81" t="s">
        <v>70</v>
      </c>
      <c r="F406" s="82" t="s">
        <v>510</v>
      </c>
      <c r="G406" s="81"/>
      <c r="H406" s="81" t="s">
        <v>1556</v>
      </c>
      <c r="I406" s="83" t="str">
        <f t="shared" si="42"/>
        <v>26 05 00.10171</v>
      </c>
      <c r="J406" s="81" t="s">
        <v>1366</v>
      </c>
      <c r="K406" s="81" t="s">
        <v>1367</v>
      </c>
      <c r="L406" s="21">
        <v>0</v>
      </c>
      <c r="M406" s="42"/>
      <c r="N406" s="77"/>
      <c r="O406" s="80"/>
      <c r="P406" s="80"/>
      <c r="Q406" s="76">
        <f t="shared" si="43"/>
        <v>0</v>
      </c>
      <c r="R406" s="76">
        <f t="shared" si="44"/>
        <v>0</v>
      </c>
      <c r="S406" s="76">
        <f t="shared" si="45"/>
        <v>0</v>
      </c>
      <c r="T406" s="30"/>
    </row>
    <row r="407" spans="1:20" ht="18.75" x14ac:dyDescent="0.25">
      <c r="A407" s="81" t="s">
        <v>429</v>
      </c>
      <c r="B407" s="81" t="s">
        <v>21</v>
      </c>
      <c r="C407" s="81" t="s">
        <v>62</v>
      </c>
      <c r="D407" s="81" t="s">
        <v>509</v>
      </c>
      <c r="E407" s="81" t="s">
        <v>70</v>
      </c>
      <c r="F407" s="82" t="s">
        <v>510</v>
      </c>
      <c r="G407" s="81"/>
      <c r="H407" s="81" t="s">
        <v>1557</v>
      </c>
      <c r="I407" s="83" t="str">
        <f t="shared" si="42"/>
        <v>26 05 00.10172</v>
      </c>
      <c r="J407" s="81" t="s">
        <v>1368</v>
      </c>
      <c r="K407" s="81" t="s">
        <v>1369</v>
      </c>
      <c r="L407" s="21">
        <v>0</v>
      </c>
      <c r="M407" s="42"/>
      <c r="N407" s="77"/>
      <c r="O407" s="80"/>
      <c r="P407" s="80"/>
      <c r="Q407" s="76">
        <f t="shared" si="43"/>
        <v>0</v>
      </c>
      <c r="R407" s="76">
        <f t="shared" si="44"/>
        <v>0</v>
      </c>
      <c r="S407" s="76">
        <f t="shared" si="45"/>
        <v>0</v>
      </c>
      <c r="T407" s="30"/>
    </row>
    <row r="408" spans="1:20" ht="18.75" x14ac:dyDescent="0.25">
      <c r="A408" s="81" t="s">
        <v>429</v>
      </c>
      <c r="B408" s="81" t="s">
        <v>21</v>
      </c>
      <c r="C408" s="81" t="s">
        <v>62</v>
      </c>
      <c r="D408" s="81" t="s">
        <v>509</v>
      </c>
      <c r="E408" s="81" t="s">
        <v>70</v>
      </c>
      <c r="F408" s="82" t="s">
        <v>510</v>
      </c>
      <c r="G408" s="81"/>
      <c r="H408" s="81" t="s">
        <v>1558</v>
      </c>
      <c r="I408" s="83" t="str">
        <f t="shared" si="42"/>
        <v>26 05 00.10173</v>
      </c>
      <c r="J408" s="81" t="s">
        <v>1370</v>
      </c>
      <c r="K408" s="81" t="s">
        <v>1371</v>
      </c>
      <c r="L408" s="21">
        <v>0</v>
      </c>
      <c r="M408" s="42"/>
      <c r="N408" s="77"/>
      <c r="O408" s="80"/>
      <c r="P408" s="80"/>
      <c r="Q408" s="76">
        <f t="shared" si="43"/>
        <v>0</v>
      </c>
      <c r="R408" s="76">
        <f t="shared" si="44"/>
        <v>0</v>
      </c>
      <c r="S408" s="76">
        <f t="shared" si="45"/>
        <v>0</v>
      </c>
      <c r="T408" s="30"/>
    </row>
    <row r="409" spans="1:20" ht="18.75" x14ac:dyDescent="0.25">
      <c r="A409" s="81" t="s">
        <v>429</v>
      </c>
      <c r="B409" s="81" t="s">
        <v>21</v>
      </c>
      <c r="C409" s="81" t="s">
        <v>62</v>
      </c>
      <c r="D409" s="81" t="s">
        <v>509</v>
      </c>
      <c r="E409" s="81" t="s">
        <v>70</v>
      </c>
      <c r="F409" s="82" t="s">
        <v>510</v>
      </c>
      <c r="G409" s="81"/>
      <c r="H409" s="81" t="s">
        <v>1559</v>
      </c>
      <c r="I409" s="83" t="str">
        <f t="shared" si="42"/>
        <v>26 05 00.10174</v>
      </c>
      <c r="J409" s="81" t="s">
        <v>1376</v>
      </c>
      <c r="K409" s="81" t="s">
        <v>1377</v>
      </c>
      <c r="L409" s="21">
        <v>0</v>
      </c>
      <c r="M409" s="42"/>
      <c r="N409" s="77"/>
      <c r="O409" s="80"/>
      <c r="P409" s="80"/>
      <c r="Q409" s="76">
        <f t="shared" si="43"/>
        <v>0</v>
      </c>
      <c r="R409" s="76">
        <f t="shared" si="44"/>
        <v>0</v>
      </c>
      <c r="S409" s="76">
        <f t="shared" si="45"/>
        <v>0</v>
      </c>
      <c r="T409" s="30"/>
    </row>
    <row r="410" spans="1:20" ht="18.75" x14ac:dyDescent="0.25">
      <c r="A410" s="81" t="s">
        <v>429</v>
      </c>
      <c r="B410" s="81" t="s">
        <v>21</v>
      </c>
      <c r="C410" s="81" t="s">
        <v>62</v>
      </c>
      <c r="D410" s="81" t="s">
        <v>509</v>
      </c>
      <c r="E410" s="81" t="s">
        <v>70</v>
      </c>
      <c r="F410" s="82" t="s">
        <v>510</v>
      </c>
      <c r="G410" s="81"/>
      <c r="H410" s="81" t="s">
        <v>1560</v>
      </c>
      <c r="I410" s="83" t="str">
        <f t="shared" si="42"/>
        <v>26 05 00.10175</v>
      </c>
      <c r="J410" s="81" t="s">
        <v>1378</v>
      </c>
      <c r="K410" s="81" t="s">
        <v>1379</v>
      </c>
      <c r="L410" s="21">
        <v>0</v>
      </c>
      <c r="M410" s="42"/>
      <c r="N410" s="77"/>
      <c r="O410" s="80"/>
      <c r="P410" s="80"/>
      <c r="Q410" s="76">
        <f t="shared" si="43"/>
        <v>0</v>
      </c>
      <c r="R410" s="76">
        <f t="shared" si="44"/>
        <v>0</v>
      </c>
      <c r="S410" s="76">
        <f t="shared" si="45"/>
        <v>0</v>
      </c>
      <c r="T410" s="30"/>
    </row>
    <row r="411" spans="1:20" ht="18.75" x14ac:dyDescent="0.25">
      <c r="A411" s="81" t="s">
        <v>429</v>
      </c>
      <c r="B411" s="81" t="s">
        <v>21</v>
      </c>
      <c r="C411" s="81" t="s">
        <v>62</v>
      </c>
      <c r="D411" s="81" t="s">
        <v>509</v>
      </c>
      <c r="E411" s="81" t="s">
        <v>70</v>
      </c>
      <c r="F411" s="82" t="s">
        <v>510</v>
      </c>
      <c r="G411" s="81"/>
      <c r="H411" s="81" t="s">
        <v>1561</v>
      </c>
      <c r="I411" s="83" t="str">
        <f t="shared" si="42"/>
        <v>26 05 00.10176</v>
      </c>
      <c r="J411" s="81" t="s">
        <v>1380</v>
      </c>
      <c r="K411" s="81" t="s">
        <v>1381</v>
      </c>
      <c r="L411" s="21">
        <v>0</v>
      </c>
      <c r="M411" s="42"/>
      <c r="N411" s="77"/>
      <c r="O411" s="80"/>
      <c r="P411" s="80"/>
      <c r="Q411" s="76">
        <f t="shared" si="43"/>
        <v>0</v>
      </c>
      <c r="R411" s="76">
        <f t="shared" si="44"/>
        <v>0</v>
      </c>
      <c r="S411" s="76">
        <f t="shared" si="45"/>
        <v>0</v>
      </c>
      <c r="T411" s="30"/>
    </row>
    <row r="412" spans="1:20" ht="18.75" x14ac:dyDescent="0.25">
      <c r="A412" s="81" t="s">
        <v>429</v>
      </c>
      <c r="B412" s="81" t="s">
        <v>21</v>
      </c>
      <c r="C412" s="81" t="s">
        <v>62</v>
      </c>
      <c r="D412" s="81" t="s">
        <v>509</v>
      </c>
      <c r="E412" s="81" t="s">
        <v>70</v>
      </c>
      <c r="F412" s="82" t="s">
        <v>510</v>
      </c>
      <c r="G412" s="81"/>
      <c r="H412" s="81" t="s">
        <v>1562</v>
      </c>
      <c r="I412" s="83" t="str">
        <f t="shared" si="42"/>
        <v>26 05 00.10177</v>
      </c>
      <c r="J412" s="81" t="s">
        <v>1382</v>
      </c>
      <c r="K412" s="81" t="s">
        <v>1383</v>
      </c>
      <c r="L412" s="21">
        <v>0</v>
      </c>
      <c r="M412" s="42"/>
      <c r="N412" s="77"/>
      <c r="O412" s="80"/>
      <c r="P412" s="80"/>
      <c r="Q412" s="76">
        <f t="shared" si="43"/>
        <v>0</v>
      </c>
      <c r="R412" s="76">
        <f t="shared" si="44"/>
        <v>0</v>
      </c>
      <c r="S412" s="76">
        <f t="shared" si="45"/>
        <v>0</v>
      </c>
      <c r="T412" s="30"/>
    </row>
    <row r="413" spans="1:20" ht="18.75" x14ac:dyDescent="0.25">
      <c r="A413" s="81" t="s">
        <v>429</v>
      </c>
      <c r="B413" s="81" t="s">
        <v>21</v>
      </c>
      <c r="C413" s="81" t="s">
        <v>62</v>
      </c>
      <c r="D413" s="81" t="s">
        <v>509</v>
      </c>
      <c r="E413" s="81" t="s">
        <v>70</v>
      </c>
      <c r="F413" s="82" t="s">
        <v>510</v>
      </c>
      <c r="G413" s="81"/>
      <c r="H413" s="81" t="s">
        <v>1563</v>
      </c>
      <c r="I413" s="83" t="str">
        <f t="shared" si="42"/>
        <v>26 05 00.10178</v>
      </c>
      <c r="J413" s="81" t="s">
        <v>1384</v>
      </c>
      <c r="K413" s="81" t="s">
        <v>1385</v>
      </c>
      <c r="L413" s="21">
        <v>0</v>
      </c>
      <c r="M413" s="42"/>
      <c r="N413" s="77"/>
      <c r="O413" s="80"/>
      <c r="P413" s="80"/>
      <c r="Q413" s="76">
        <f t="shared" si="43"/>
        <v>0</v>
      </c>
      <c r="R413" s="76">
        <f t="shared" si="44"/>
        <v>0</v>
      </c>
      <c r="S413" s="76">
        <f t="shared" si="45"/>
        <v>0</v>
      </c>
      <c r="T413" s="30"/>
    </row>
    <row r="414" spans="1:20" ht="18.75" x14ac:dyDescent="0.25">
      <c r="A414" s="81" t="s">
        <v>429</v>
      </c>
      <c r="B414" s="81" t="s">
        <v>21</v>
      </c>
      <c r="C414" s="81" t="s">
        <v>62</v>
      </c>
      <c r="D414" s="81" t="s">
        <v>509</v>
      </c>
      <c r="E414" s="81" t="s">
        <v>70</v>
      </c>
      <c r="F414" s="82" t="s">
        <v>510</v>
      </c>
      <c r="G414" s="81"/>
      <c r="H414" s="81" t="s">
        <v>1564</v>
      </c>
      <c r="I414" s="83" t="str">
        <f t="shared" si="42"/>
        <v>26 05 00.10179</v>
      </c>
      <c r="J414" s="81" t="s">
        <v>1421</v>
      </c>
      <c r="K414" s="81" t="s">
        <v>1422</v>
      </c>
      <c r="L414" s="21" t="s">
        <v>1568</v>
      </c>
      <c r="M414" s="42"/>
      <c r="N414" s="77"/>
      <c r="O414" s="80"/>
      <c r="P414" s="80"/>
      <c r="Q414" s="76">
        <f t="shared" si="43"/>
        <v>0</v>
      </c>
      <c r="R414" s="76">
        <f t="shared" si="44"/>
        <v>0</v>
      </c>
      <c r="S414" s="76">
        <f t="shared" si="45"/>
        <v>0</v>
      </c>
      <c r="T414" s="30"/>
    </row>
    <row r="415" spans="1:20" ht="30" x14ac:dyDescent="0.25">
      <c r="A415" s="81" t="s">
        <v>429</v>
      </c>
      <c r="B415" s="81" t="s">
        <v>21</v>
      </c>
      <c r="C415" s="81" t="s">
        <v>62</v>
      </c>
      <c r="D415" s="81" t="s">
        <v>509</v>
      </c>
      <c r="E415" s="81" t="s">
        <v>70</v>
      </c>
      <c r="F415" s="82" t="s">
        <v>510</v>
      </c>
      <c r="G415" s="81">
        <v>0</v>
      </c>
      <c r="H415" s="81" t="s">
        <v>1565</v>
      </c>
      <c r="I415" s="83" t="str">
        <f t="shared" si="42"/>
        <v>26 05 00.10180</v>
      </c>
      <c r="J415" s="81" t="s">
        <v>1415</v>
      </c>
      <c r="K415" s="81" t="s">
        <v>1416</v>
      </c>
      <c r="L415" s="21" t="s">
        <v>1568</v>
      </c>
      <c r="M415" s="21"/>
      <c r="N415" s="77"/>
      <c r="O415" s="80"/>
      <c r="P415" s="80"/>
      <c r="Q415" s="76">
        <f t="shared" si="43"/>
        <v>0</v>
      </c>
      <c r="R415" s="76">
        <f t="shared" si="44"/>
        <v>0</v>
      </c>
      <c r="S415" s="76">
        <f t="shared" si="45"/>
        <v>0</v>
      </c>
      <c r="T415" s="30"/>
    </row>
    <row r="416" spans="1:20" ht="30" x14ac:dyDescent="0.25">
      <c r="A416" s="81" t="s">
        <v>429</v>
      </c>
      <c r="B416" s="81" t="s">
        <v>21</v>
      </c>
      <c r="C416" s="81" t="s">
        <v>62</v>
      </c>
      <c r="D416" s="81" t="s">
        <v>509</v>
      </c>
      <c r="E416" s="81" t="s">
        <v>70</v>
      </c>
      <c r="F416" s="82" t="s">
        <v>510</v>
      </c>
      <c r="G416" s="81"/>
      <c r="H416" s="81" t="s">
        <v>1566</v>
      </c>
      <c r="I416" s="83" t="str">
        <f t="shared" si="42"/>
        <v>26 05 00.10181</v>
      </c>
      <c r="J416" s="81" t="s">
        <v>1417</v>
      </c>
      <c r="K416" s="81" t="s">
        <v>1418</v>
      </c>
      <c r="L416" s="21" t="s">
        <v>1568</v>
      </c>
      <c r="M416" s="21"/>
      <c r="N416" s="77"/>
      <c r="O416" s="80"/>
      <c r="P416" s="80"/>
      <c r="Q416" s="76">
        <f t="shared" si="43"/>
        <v>0</v>
      </c>
      <c r="R416" s="76">
        <f t="shared" si="44"/>
        <v>0</v>
      </c>
      <c r="S416" s="76">
        <f t="shared" si="45"/>
        <v>0</v>
      </c>
      <c r="T416" s="30"/>
    </row>
    <row r="417" spans="1:20" ht="18.75" x14ac:dyDescent="0.25">
      <c r="A417" s="81" t="s">
        <v>429</v>
      </c>
      <c r="B417" s="81" t="s">
        <v>21</v>
      </c>
      <c r="C417" s="81" t="s">
        <v>62</v>
      </c>
      <c r="D417" s="81" t="s">
        <v>509</v>
      </c>
      <c r="E417" s="81" t="s">
        <v>70</v>
      </c>
      <c r="F417" s="82" t="s">
        <v>510</v>
      </c>
      <c r="G417" s="81"/>
      <c r="H417" s="81" t="s">
        <v>1567</v>
      </c>
      <c r="I417" s="83" t="str">
        <f t="shared" si="42"/>
        <v>26 05 00.10182</v>
      </c>
      <c r="J417" s="81" t="s">
        <v>1419</v>
      </c>
      <c r="K417" s="81" t="s">
        <v>1420</v>
      </c>
      <c r="L417" s="21" t="s">
        <v>1568</v>
      </c>
      <c r="M417" s="21"/>
      <c r="N417" s="77"/>
      <c r="O417" s="80"/>
      <c r="P417" s="80"/>
      <c r="Q417" s="76">
        <f t="shared" si="43"/>
        <v>0</v>
      </c>
      <c r="R417" s="76">
        <f t="shared" si="44"/>
        <v>0</v>
      </c>
      <c r="S417" s="76">
        <f t="shared" si="45"/>
        <v>0</v>
      </c>
      <c r="T417" s="30"/>
    </row>
    <row r="418" spans="1:20" ht="18.75" x14ac:dyDescent="0.25">
      <c r="A418" s="81"/>
      <c r="B418" s="81"/>
      <c r="C418" s="81"/>
      <c r="D418" s="81"/>
      <c r="E418" s="81"/>
      <c r="F418" s="82"/>
      <c r="G418" s="81"/>
      <c r="H418" s="81"/>
      <c r="I418" s="83"/>
      <c r="J418" s="81"/>
      <c r="K418" s="81"/>
      <c r="L418" s="21"/>
      <c r="M418" s="21"/>
      <c r="N418" s="77"/>
      <c r="O418" s="80"/>
      <c r="P418" s="80"/>
      <c r="Q418" s="76"/>
      <c r="R418" s="76"/>
      <c r="S418" s="76"/>
      <c r="T418" s="30"/>
    </row>
    <row r="419" spans="1:20" ht="18.75" x14ac:dyDescent="0.25">
      <c r="A419" s="21" t="s">
        <v>419</v>
      </c>
      <c r="B419" s="21" t="s">
        <v>18</v>
      </c>
      <c r="C419" s="21" t="s">
        <v>62</v>
      </c>
      <c r="D419" s="21" t="s">
        <v>528</v>
      </c>
      <c r="E419" s="21" t="s">
        <v>70</v>
      </c>
      <c r="F419" s="34" t="s">
        <v>529</v>
      </c>
      <c r="G419" s="21" t="s">
        <v>530</v>
      </c>
      <c r="H419" s="21" t="s">
        <v>56</v>
      </c>
      <c r="I419" s="21" t="s">
        <v>1047</v>
      </c>
      <c r="J419" s="21" t="s">
        <v>531</v>
      </c>
      <c r="K419" s="21" t="s">
        <v>532</v>
      </c>
      <c r="L419" s="21"/>
      <c r="M419" s="21"/>
      <c r="N419" s="77"/>
      <c r="O419" s="80"/>
      <c r="P419" s="80"/>
      <c r="Q419" s="76">
        <f t="shared" ref="Q419:Q450" si="46">IF($H419=0,0,COUNTIF(I:I,I419)-1)</f>
        <v>0</v>
      </c>
      <c r="R419" s="76">
        <f t="shared" ref="R419:R450" si="47">IF($H419=0,0,COUNTIF(J:J,J419)-1)</f>
        <v>0</v>
      </c>
      <c r="S419" s="76">
        <f t="shared" ref="S419:S450" si="48">IF($H419=0,0,COUNTIF(K:K,K419)-1)</f>
        <v>0</v>
      </c>
      <c r="T419" s="30">
        <v>0</v>
      </c>
    </row>
    <row r="420" spans="1:20" ht="18.75" x14ac:dyDescent="0.25">
      <c r="A420" s="21" t="s">
        <v>419</v>
      </c>
      <c r="B420" s="21" t="s">
        <v>18</v>
      </c>
      <c r="C420" s="21" t="s">
        <v>62</v>
      </c>
      <c r="D420" s="21" t="s">
        <v>528</v>
      </c>
      <c r="E420" s="21" t="s">
        <v>70</v>
      </c>
      <c r="F420" s="34" t="s">
        <v>529</v>
      </c>
      <c r="G420" s="21" t="s">
        <v>530</v>
      </c>
      <c r="H420" s="21" t="s">
        <v>59</v>
      </c>
      <c r="I420" s="21" t="s">
        <v>1048</v>
      </c>
      <c r="J420" s="21" t="s">
        <v>512</v>
      </c>
      <c r="K420" s="21" t="s">
        <v>533</v>
      </c>
      <c r="L420" s="21"/>
      <c r="M420" s="21"/>
      <c r="N420" s="77"/>
      <c r="O420" s="80"/>
      <c r="P420" s="80"/>
      <c r="Q420" s="76">
        <f t="shared" si="46"/>
        <v>0</v>
      </c>
      <c r="R420" s="76">
        <f t="shared" si="47"/>
        <v>0</v>
      </c>
      <c r="S420" s="76">
        <f t="shared" si="48"/>
        <v>0</v>
      </c>
      <c r="T420" s="30">
        <v>0</v>
      </c>
    </row>
    <row r="421" spans="1:20" ht="18.75" x14ac:dyDescent="0.25">
      <c r="A421" s="21" t="s">
        <v>419</v>
      </c>
      <c r="B421" s="21" t="s">
        <v>18</v>
      </c>
      <c r="C421" s="21" t="s">
        <v>62</v>
      </c>
      <c r="D421" s="21" t="s">
        <v>528</v>
      </c>
      <c r="E421" s="21" t="s">
        <v>70</v>
      </c>
      <c r="F421" s="34" t="s">
        <v>529</v>
      </c>
      <c r="G421" s="21" t="s">
        <v>530</v>
      </c>
      <c r="H421" s="21" t="s">
        <v>62</v>
      </c>
      <c r="I421" s="21" t="s">
        <v>1049</v>
      </c>
      <c r="J421" s="21" t="s">
        <v>534</v>
      </c>
      <c r="K421" s="21" t="s">
        <v>535</v>
      </c>
      <c r="L421" s="21"/>
      <c r="M421" s="21"/>
      <c r="N421" s="77"/>
      <c r="O421" s="80"/>
      <c r="P421" s="80"/>
      <c r="Q421" s="76">
        <f t="shared" si="46"/>
        <v>0</v>
      </c>
      <c r="R421" s="76">
        <f t="shared" si="47"/>
        <v>0</v>
      </c>
      <c r="S421" s="76">
        <f t="shared" si="48"/>
        <v>0</v>
      </c>
      <c r="T421" s="30">
        <v>0</v>
      </c>
    </row>
    <row r="422" spans="1:20" ht="18.75" x14ac:dyDescent="0.25">
      <c r="A422" s="21" t="s">
        <v>419</v>
      </c>
      <c r="B422" s="21" t="s">
        <v>18</v>
      </c>
      <c r="C422" s="21" t="s">
        <v>62</v>
      </c>
      <c r="D422" s="21" t="s">
        <v>528</v>
      </c>
      <c r="E422" s="21" t="s">
        <v>70</v>
      </c>
      <c r="F422" s="34" t="s">
        <v>529</v>
      </c>
      <c r="G422" s="21" t="s">
        <v>530</v>
      </c>
      <c r="H422" s="21" t="s">
        <v>65</v>
      </c>
      <c r="I422" s="21" t="s">
        <v>1050</v>
      </c>
      <c r="J422" s="21" t="s">
        <v>536</v>
      </c>
      <c r="K422" s="21" t="s">
        <v>537</v>
      </c>
      <c r="L422" s="21"/>
      <c r="M422" s="21"/>
      <c r="N422" s="77"/>
      <c r="O422" s="80"/>
      <c r="P422" s="80"/>
      <c r="Q422" s="76">
        <f t="shared" si="46"/>
        <v>0</v>
      </c>
      <c r="R422" s="76">
        <f t="shared" si="47"/>
        <v>0</v>
      </c>
      <c r="S422" s="76">
        <f t="shared" si="48"/>
        <v>0</v>
      </c>
      <c r="T422" s="30">
        <v>0</v>
      </c>
    </row>
    <row r="423" spans="1:20" ht="18.75" x14ac:dyDescent="0.25">
      <c r="A423" s="21" t="s">
        <v>419</v>
      </c>
      <c r="B423" s="21" t="s">
        <v>18</v>
      </c>
      <c r="C423" s="21" t="s">
        <v>62</v>
      </c>
      <c r="D423" s="21" t="s">
        <v>528</v>
      </c>
      <c r="E423" s="21" t="s">
        <v>70</v>
      </c>
      <c r="F423" s="34" t="s">
        <v>529</v>
      </c>
      <c r="G423" s="21" t="s">
        <v>530</v>
      </c>
      <c r="H423" s="21" t="s">
        <v>100</v>
      </c>
      <c r="I423" s="21" t="s">
        <v>1051</v>
      </c>
      <c r="J423" s="21" t="s">
        <v>538</v>
      </c>
      <c r="K423" s="21" t="s">
        <v>539</v>
      </c>
      <c r="L423" s="21"/>
      <c r="M423" s="21"/>
      <c r="N423" s="77"/>
      <c r="O423" s="80"/>
      <c r="P423" s="80"/>
      <c r="Q423" s="76">
        <f t="shared" si="46"/>
        <v>0</v>
      </c>
      <c r="R423" s="76">
        <f t="shared" si="47"/>
        <v>0</v>
      </c>
      <c r="S423" s="76">
        <f t="shared" si="48"/>
        <v>0</v>
      </c>
      <c r="T423" s="30">
        <v>0</v>
      </c>
    </row>
    <row r="424" spans="1:20" ht="18.75" x14ac:dyDescent="0.25">
      <c r="A424" s="21" t="s">
        <v>419</v>
      </c>
      <c r="B424" s="21" t="s">
        <v>18</v>
      </c>
      <c r="C424" s="21" t="s">
        <v>62</v>
      </c>
      <c r="D424" s="21" t="s">
        <v>528</v>
      </c>
      <c r="E424" s="21" t="s">
        <v>70</v>
      </c>
      <c r="F424" s="34" t="s">
        <v>529</v>
      </c>
      <c r="G424" s="21" t="s">
        <v>530</v>
      </c>
      <c r="H424" s="21" t="s">
        <v>103</v>
      </c>
      <c r="I424" s="21" t="s">
        <v>1052</v>
      </c>
      <c r="J424" s="21" t="s">
        <v>540</v>
      </c>
      <c r="K424" s="21" t="s">
        <v>541</v>
      </c>
      <c r="L424" s="21"/>
      <c r="M424" s="21"/>
      <c r="N424" s="77"/>
      <c r="O424" s="80"/>
      <c r="P424" s="80"/>
      <c r="Q424" s="76">
        <f t="shared" si="46"/>
        <v>0</v>
      </c>
      <c r="R424" s="76">
        <f t="shared" si="47"/>
        <v>0</v>
      </c>
      <c r="S424" s="76">
        <f t="shared" si="48"/>
        <v>0</v>
      </c>
      <c r="T424" s="30">
        <v>0</v>
      </c>
    </row>
    <row r="425" spans="1:20" ht="18.75" x14ac:dyDescent="0.25">
      <c r="A425" s="21" t="s">
        <v>419</v>
      </c>
      <c r="B425" s="21" t="s">
        <v>18</v>
      </c>
      <c r="C425" s="21" t="s">
        <v>62</v>
      </c>
      <c r="D425" s="21" t="s">
        <v>528</v>
      </c>
      <c r="E425" s="21" t="s">
        <v>70</v>
      </c>
      <c r="F425" s="34" t="s">
        <v>529</v>
      </c>
      <c r="G425" s="21" t="s">
        <v>530</v>
      </c>
      <c r="H425" s="21" t="s">
        <v>106</v>
      </c>
      <c r="I425" s="21" t="s">
        <v>1053</v>
      </c>
      <c r="J425" s="21" t="s">
        <v>542</v>
      </c>
      <c r="K425" s="21" t="s">
        <v>543</v>
      </c>
      <c r="L425" s="21"/>
      <c r="M425" s="21"/>
      <c r="N425" s="77"/>
      <c r="O425" s="80"/>
      <c r="P425" s="80"/>
      <c r="Q425" s="76">
        <f t="shared" si="46"/>
        <v>0</v>
      </c>
      <c r="R425" s="76">
        <f t="shared" si="47"/>
        <v>0</v>
      </c>
      <c r="S425" s="76">
        <f t="shared" si="48"/>
        <v>0</v>
      </c>
      <c r="T425" s="30">
        <v>0</v>
      </c>
    </row>
    <row r="426" spans="1:20" ht="18.75" x14ac:dyDescent="0.25">
      <c r="A426" s="21" t="s">
        <v>419</v>
      </c>
      <c r="B426" s="21" t="s">
        <v>18</v>
      </c>
      <c r="C426" s="21" t="s">
        <v>62</v>
      </c>
      <c r="D426" s="21" t="s">
        <v>528</v>
      </c>
      <c r="E426" s="21" t="s">
        <v>70</v>
      </c>
      <c r="F426" s="34" t="s">
        <v>529</v>
      </c>
      <c r="G426" s="21" t="s">
        <v>530</v>
      </c>
      <c r="H426" s="21" t="s">
        <v>109</v>
      </c>
      <c r="I426" s="21" t="s">
        <v>1054</v>
      </c>
      <c r="J426" s="21" t="s">
        <v>544</v>
      </c>
      <c r="K426" s="21" t="s">
        <v>545</v>
      </c>
      <c r="L426" s="21"/>
      <c r="M426" s="21"/>
      <c r="N426" s="77"/>
      <c r="O426" s="80"/>
      <c r="P426" s="80"/>
      <c r="Q426" s="76">
        <f t="shared" si="46"/>
        <v>0</v>
      </c>
      <c r="R426" s="76">
        <f t="shared" si="47"/>
        <v>0</v>
      </c>
      <c r="S426" s="76">
        <f t="shared" si="48"/>
        <v>0</v>
      </c>
      <c r="T426" s="30">
        <v>0</v>
      </c>
    </row>
    <row r="427" spans="1:20" ht="18.75" x14ac:dyDescent="0.25">
      <c r="A427" s="21" t="s">
        <v>419</v>
      </c>
      <c r="B427" s="21" t="s">
        <v>18</v>
      </c>
      <c r="C427" s="21" t="s">
        <v>62</v>
      </c>
      <c r="D427" s="21" t="s">
        <v>528</v>
      </c>
      <c r="E427" s="21" t="s">
        <v>70</v>
      </c>
      <c r="F427" s="34" t="s">
        <v>529</v>
      </c>
      <c r="G427" s="21" t="s">
        <v>530</v>
      </c>
      <c r="H427" s="21" t="s">
        <v>137</v>
      </c>
      <c r="I427" s="21" t="s">
        <v>1055</v>
      </c>
      <c r="J427" s="21" t="s">
        <v>546</v>
      </c>
      <c r="K427" s="21" t="s">
        <v>547</v>
      </c>
      <c r="L427" s="21"/>
      <c r="M427" s="21"/>
      <c r="N427" s="77"/>
      <c r="O427" s="80"/>
      <c r="P427" s="80"/>
      <c r="Q427" s="76">
        <f t="shared" si="46"/>
        <v>0</v>
      </c>
      <c r="R427" s="76">
        <f t="shared" si="47"/>
        <v>0</v>
      </c>
      <c r="S427" s="76">
        <f t="shared" si="48"/>
        <v>0</v>
      </c>
      <c r="T427" s="30">
        <v>0</v>
      </c>
    </row>
    <row r="428" spans="1:20" ht="18.75" x14ac:dyDescent="0.25">
      <c r="A428" s="21" t="s">
        <v>419</v>
      </c>
      <c r="B428" s="21" t="s">
        <v>18</v>
      </c>
      <c r="C428" s="21" t="s">
        <v>62</v>
      </c>
      <c r="D428" s="21" t="s">
        <v>528</v>
      </c>
      <c r="E428" s="21" t="s">
        <v>70</v>
      </c>
      <c r="F428" s="34" t="s">
        <v>529</v>
      </c>
      <c r="G428" s="21" t="s">
        <v>530</v>
      </c>
      <c r="H428" s="21" t="s">
        <v>139</v>
      </c>
      <c r="I428" s="21" t="s">
        <v>1056</v>
      </c>
      <c r="J428" s="21" t="s">
        <v>548</v>
      </c>
      <c r="K428" s="21" t="s">
        <v>549</v>
      </c>
      <c r="L428" s="21"/>
      <c r="M428" s="21"/>
      <c r="N428" s="77"/>
      <c r="O428" s="80"/>
      <c r="P428" s="80"/>
      <c r="Q428" s="76">
        <f t="shared" si="46"/>
        <v>0</v>
      </c>
      <c r="R428" s="76">
        <f t="shared" si="47"/>
        <v>0</v>
      </c>
      <c r="S428" s="76">
        <f t="shared" si="48"/>
        <v>0</v>
      </c>
      <c r="T428" s="30">
        <v>0</v>
      </c>
    </row>
    <row r="429" spans="1:20" ht="18.75" x14ac:dyDescent="0.25">
      <c r="A429" s="21" t="s">
        <v>419</v>
      </c>
      <c r="B429" s="21" t="s">
        <v>18</v>
      </c>
      <c r="C429" s="21" t="s">
        <v>62</v>
      </c>
      <c r="D429" s="21" t="s">
        <v>528</v>
      </c>
      <c r="E429" s="21" t="s">
        <v>70</v>
      </c>
      <c r="F429" s="34" t="s">
        <v>529</v>
      </c>
      <c r="G429" s="21" t="s">
        <v>530</v>
      </c>
      <c r="H429" s="21" t="s">
        <v>141</v>
      </c>
      <c r="I429" s="21" t="s">
        <v>1057</v>
      </c>
      <c r="J429" s="21" t="s">
        <v>550</v>
      </c>
      <c r="K429" s="21" t="s">
        <v>551</v>
      </c>
      <c r="L429" s="21"/>
      <c r="M429" s="21"/>
      <c r="N429" s="77"/>
      <c r="O429" s="80"/>
      <c r="P429" s="80"/>
      <c r="Q429" s="76">
        <f t="shared" si="46"/>
        <v>0</v>
      </c>
      <c r="R429" s="76">
        <f t="shared" si="47"/>
        <v>0</v>
      </c>
      <c r="S429" s="76">
        <f t="shared" si="48"/>
        <v>0</v>
      </c>
      <c r="T429" s="30">
        <v>0</v>
      </c>
    </row>
    <row r="430" spans="1:20" ht="18.75" x14ac:dyDescent="0.25">
      <c r="A430" s="21" t="s">
        <v>419</v>
      </c>
      <c r="B430" s="21" t="s">
        <v>18</v>
      </c>
      <c r="C430" s="21" t="s">
        <v>62</v>
      </c>
      <c r="D430" s="21" t="s">
        <v>528</v>
      </c>
      <c r="E430" s="21" t="s">
        <v>70</v>
      </c>
      <c r="F430" s="34" t="s">
        <v>529</v>
      </c>
      <c r="G430" s="21" t="s">
        <v>530</v>
      </c>
      <c r="H430" s="21" t="s">
        <v>143</v>
      </c>
      <c r="I430" s="21" t="s">
        <v>1058</v>
      </c>
      <c r="J430" s="21" t="s">
        <v>552</v>
      </c>
      <c r="K430" s="21" t="s">
        <v>553</v>
      </c>
      <c r="L430" s="21"/>
      <c r="M430" s="21"/>
      <c r="N430" s="77"/>
      <c r="O430" s="80"/>
      <c r="P430" s="80"/>
      <c r="Q430" s="76">
        <f t="shared" si="46"/>
        <v>0</v>
      </c>
      <c r="R430" s="76">
        <f t="shared" si="47"/>
        <v>0</v>
      </c>
      <c r="S430" s="76">
        <f t="shared" si="48"/>
        <v>0</v>
      </c>
      <c r="T430" s="30">
        <v>0</v>
      </c>
    </row>
    <row r="431" spans="1:20" ht="18.75" x14ac:dyDescent="0.25">
      <c r="A431" s="21" t="s">
        <v>419</v>
      </c>
      <c r="B431" s="21" t="s">
        <v>18</v>
      </c>
      <c r="C431" s="21" t="s">
        <v>62</v>
      </c>
      <c r="D431" s="21" t="s">
        <v>528</v>
      </c>
      <c r="E431" s="21" t="s">
        <v>70</v>
      </c>
      <c r="F431" s="34" t="s">
        <v>529</v>
      </c>
      <c r="G431" s="21" t="s">
        <v>530</v>
      </c>
      <c r="H431" s="21" t="s">
        <v>145</v>
      </c>
      <c r="I431" s="21" t="s">
        <v>1059</v>
      </c>
      <c r="J431" s="21" t="s">
        <v>554</v>
      </c>
      <c r="K431" s="21" t="s">
        <v>555</v>
      </c>
      <c r="L431" s="21"/>
      <c r="M431" s="21"/>
      <c r="N431" s="77"/>
      <c r="O431" s="80"/>
      <c r="P431" s="80"/>
      <c r="Q431" s="76">
        <f t="shared" si="46"/>
        <v>0</v>
      </c>
      <c r="R431" s="76">
        <f t="shared" si="47"/>
        <v>0</v>
      </c>
      <c r="S431" s="76">
        <f t="shared" si="48"/>
        <v>0</v>
      </c>
      <c r="T431" s="30">
        <v>0</v>
      </c>
    </row>
    <row r="432" spans="1:20" ht="18.75" x14ac:dyDescent="0.25">
      <c r="A432" s="21" t="s">
        <v>419</v>
      </c>
      <c r="B432" s="21" t="s">
        <v>18</v>
      </c>
      <c r="C432" s="21" t="s">
        <v>62</v>
      </c>
      <c r="D432" s="21" t="s">
        <v>528</v>
      </c>
      <c r="E432" s="21" t="s">
        <v>70</v>
      </c>
      <c r="F432" s="34" t="s">
        <v>529</v>
      </c>
      <c r="G432" s="21" t="s">
        <v>530</v>
      </c>
      <c r="H432" s="21" t="s">
        <v>147</v>
      </c>
      <c r="I432" s="21" t="s">
        <v>1060</v>
      </c>
      <c r="J432" s="21" t="s">
        <v>556</v>
      </c>
      <c r="K432" s="21" t="s">
        <v>557</v>
      </c>
      <c r="L432" s="21"/>
      <c r="M432" s="21"/>
      <c r="N432" s="77"/>
      <c r="O432" s="80"/>
      <c r="P432" s="80"/>
      <c r="Q432" s="76">
        <f t="shared" si="46"/>
        <v>0</v>
      </c>
      <c r="R432" s="76">
        <f t="shared" si="47"/>
        <v>0</v>
      </c>
      <c r="S432" s="76">
        <f t="shared" si="48"/>
        <v>0</v>
      </c>
      <c r="T432" s="30">
        <v>0</v>
      </c>
    </row>
    <row r="433" spans="1:20" ht="18.75" x14ac:dyDescent="0.25">
      <c r="A433" s="21" t="s">
        <v>419</v>
      </c>
      <c r="B433" s="21" t="s">
        <v>18</v>
      </c>
      <c r="C433" s="21" t="s">
        <v>62</v>
      </c>
      <c r="D433" s="21" t="s">
        <v>528</v>
      </c>
      <c r="E433" s="21" t="s">
        <v>70</v>
      </c>
      <c r="F433" s="34" t="s">
        <v>529</v>
      </c>
      <c r="G433" s="21" t="s">
        <v>530</v>
      </c>
      <c r="H433" s="21" t="s">
        <v>149</v>
      </c>
      <c r="I433" s="21" t="s">
        <v>1061</v>
      </c>
      <c r="J433" s="21" t="s">
        <v>558</v>
      </c>
      <c r="K433" s="21" t="s">
        <v>559</v>
      </c>
      <c r="L433" s="21"/>
      <c r="M433" s="21"/>
      <c r="N433" s="77"/>
      <c r="O433" s="80"/>
      <c r="P433" s="80"/>
      <c r="Q433" s="76">
        <f t="shared" si="46"/>
        <v>0</v>
      </c>
      <c r="R433" s="76">
        <f t="shared" si="47"/>
        <v>0</v>
      </c>
      <c r="S433" s="76">
        <f t="shared" si="48"/>
        <v>0</v>
      </c>
      <c r="T433" s="30">
        <v>0</v>
      </c>
    </row>
    <row r="434" spans="1:20" ht="18.75" x14ac:dyDescent="0.25">
      <c r="A434" s="21" t="s">
        <v>419</v>
      </c>
      <c r="B434" s="21" t="s">
        <v>18</v>
      </c>
      <c r="C434" s="21" t="s">
        <v>62</v>
      </c>
      <c r="D434" s="21" t="s">
        <v>528</v>
      </c>
      <c r="E434" s="21" t="s">
        <v>70</v>
      </c>
      <c r="F434" s="34" t="s">
        <v>529</v>
      </c>
      <c r="G434" s="21" t="s">
        <v>530</v>
      </c>
      <c r="H434" s="21" t="s">
        <v>151</v>
      </c>
      <c r="I434" s="21" t="s">
        <v>1062</v>
      </c>
      <c r="J434" s="21" t="s">
        <v>560</v>
      </c>
      <c r="K434" s="21" t="s">
        <v>561</v>
      </c>
      <c r="L434" s="21"/>
      <c r="M434" s="21"/>
      <c r="N434" s="77"/>
      <c r="O434" s="80"/>
      <c r="P434" s="80"/>
      <c r="Q434" s="76">
        <f t="shared" si="46"/>
        <v>0</v>
      </c>
      <c r="R434" s="76">
        <f t="shared" si="47"/>
        <v>0</v>
      </c>
      <c r="S434" s="76">
        <f t="shared" si="48"/>
        <v>0</v>
      </c>
      <c r="T434" s="30">
        <v>0</v>
      </c>
    </row>
    <row r="435" spans="1:20" ht="18.75" x14ac:dyDescent="0.25">
      <c r="A435" s="21" t="s">
        <v>419</v>
      </c>
      <c r="B435" s="21" t="s">
        <v>18</v>
      </c>
      <c r="C435" s="21" t="s">
        <v>62</v>
      </c>
      <c r="D435" s="21" t="s">
        <v>528</v>
      </c>
      <c r="E435" s="21" t="s">
        <v>70</v>
      </c>
      <c r="F435" s="34" t="s">
        <v>529</v>
      </c>
      <c r="G435" s="21" t="s">
        <v>530</v>
      </c>
      <c r="H435" s="21" t="s">
        <v>153</v>
      </c>
      <c r="I435" s="21" t="s">
        <v>1063</v>
      </c>
      <c r="J435" s="21" t="s">
        <v>562</v>
      </c>
      <c r="K435" s="21" t="s">
        <v>563</v>
      </c>
      <c r="L435" s="21"/>
      <c r="M435" s="21"/>
      <c r="N435" s="77"/>
      <c r="O435" s="80"/>
      <c r="P435" s="80"/>
      <c r="Q435" s="76">
        <f t="shared" si="46"/>
        <v>0</v>
      </c>
      <c r="R435" s="76">
        <f t="shared" si="47"/>
        <v>0</v>
      </c>
      <c r="S435" s="76">
        <f t="shared" si="48"/>
        <v>0</v>
      </c>
      <c r="T435" s="30">
        <v>0</v>
      </c>
    </row>
    <row r="436" spans="1:20" ht="30" x14ac:dyDescent="0.25">
      <c r="A436" s="21" t="s">
        <v>419</v>
      </c>
      <c r="B436" s="21" t="s">
        <v>18</v>
      </c>
      <c r="C436" s="21" t="s">
        <v>62</v>
      </c>
      <c r="D436" s="21" t="s">
        <v>528</v>
      </c>
      <c r="E436" s="21" t="s">
        <v>70</v>
      </c>
      <c r="F436" s="34" t="s">
        <v>529</v>
      </c>
      <c r="G436" s="21" t="s">
        <v>530</v>
      </c>
      <c r="H436" s="21" t="s">
        <v>155</v>
      </c>
      <c r="I436" s="21" t="s">
        <v>1064</v>
      </c>
      <c r="J436" s="21" t="s">
        <v>564</v>
      </c>
      <c r="K436" s="21" t="s">
        <v>565</v>
      </c>
      <c r="L436" s="21"/>
      <c r="M436" s="21"/>
      <c r="N436" s="77"/>
      <c r="O436" s="80"/>
      <c r="P436" s="80"/>
      <c r="Q436" s="76">
        <f t="shared" si="46"/>
        <v>0</v>
      </c>
      <c r="R436" s="76">
        <f t="shared" si="47"/>
        <v>0</v>
      </c>
      <c r="S436" s="76">
        <f t="shared" si="48"/>
        <v>0</v>
      </c>
      <c r="T436" s="30">
        <v>0</v>
      </c>
    </row>
    <row r="437" spans="1:20" ht="18.75" x14ac:dyDescent="0.25">
      <c r="A437" s="21" t="s">
        <v>419</v>
      </c>
      <c r="B437" s="21" t="s">
        <v>18</v>
      </c>
      <c r="C437" s="21" t="s">
        <v>62</v>
      </c>
      <c r="D437" s="21" t="s">
        <v>528</v>
      </c>
      <c r="E437" s="21" t="s">
        <v>70</v>
      </c>
      <c r="F437" s="34" t="s">
        <v>529</v>
      </c>
      <c r="G437" s="21" t="s">
        <v>530</v>
      </c>
      <c r="H437" s="21" t="s">
        <v>175</v>
      </c>
      <c r="I437" s="21" t="s">
        <v>1065</v>
      </c>
      <c r="J437" s="21" t="s">
        <v>566</v>
      </c>
      <c r="K437" s="21" t="s">
        <v>567</v>
      </c>
      <c r="L437" s="21"/>
      <c r="M437" s="21"/>
      <c r="N437" s="77"/>
      <c r="O437" s="80"/>
      <c r="P437" s="80"/>
      <c r="Q437" s="76">
        <f t="shared" si="46"/>
        <v>0</v>
      </c>
      <c r="R437" s="76">
        <f t="shared" si="47"/>
        <v>0</v>
      </c>
      <c r="S437" s="76">
        <f t="shared" si="48"/>
        <v>0</v>
      </c>
      <c r="T437" s="30">
        <v>0</v>
      </c>
    </row>
    <row r="438" spans="1:20" ht="18.75" x14ac:dyDescent="0.25">
      <c r="A438" s="21" t="s">
        <v>419</v>
      </c>
      <c r="B438" s="21" t="s">
        <v>18</v>
      </c>
      <c r="C438" s="21" t="s">
        <v>62</v>
      </c>
      <c r="D438" s="21" t="s">
        <v>528</v>
      </c>
      <c r="E438" s="21" t="s">
        <v>70</v>
      </c>
      <c r="F438" s="34" t="s">
        <v>529</v>
      </c>
      <c r="G438" s="21" t="s">
        <v>530</v>
      </c>
      <c r="H438" s="21" t="s">
        <v>419</v>
      </c>
      <c r="I438" s="21" t="s">
        <v>1066</v>
      </c>
      <c r="J438" s="21" t="s">
        <v>568</v>
      </c>
      <c r="K438" s="21" t="s">
        <v>569</v>
      </c>
      <c r="L438" s="21"/>
      <c r="M438" s="21"/>
      <c r="N438" s="77"/>
      <c r="O438" s="80"/>
      <c r="P438" s="80"/>
      <c r="Q438" s="76">
        <f t="shared" si="46"/>
        <v>0</v>
      </c>
      <c r="R438" s="76">
        <f t="shared" si="47"/>
        <v>0</v>
      </c>
      <c r="S438" s="76">
        <f t="shared" si="48"/>
        <v>0</v>
      </c>
      <c r="T438" s="30">
        <v>0</v>
      </c>
    </row>
    <row r="439" spans="1:20" ht="18.75" x14ac:dyDescent="0.25">
      <c r="A439" s="21" t="s">
        <v>419</v>
      </c>
      <c r="B439" s="21" t="s">
        <v>18</v>
      </c>
      <c r="C439" s="21" t="s">
        <v>62</v>
      </c>
      <c r="D439" s="21" t="s">
        <v>528</v>
      </c>
      <c r="E439" s="21" t="s">
        <v>70</v>
      </c>
      <c r="F439" s="34" t="s">
        <v>529</v>
      </c>
      <c r="G439" s="21" t="s">
        <v>530</v>
      </c>
      <c r="H439" s="21" t="s">
        <v>422</v>
      </c>
      <c r="I439" s="21" t="s">
        <v>1067</v>
      </c>
      <c r="J439" s="21" t="s">
        <v>570</v>
      </c>
      <c r="K439" s="21" t="s">
        <v>571</v>
      </c>
      <c r="L439" s="21"/>
      <c r="M439" s="21"/>
      <c r="N439" s="77"/>
      <c r="O439" s="80"/>
      <c r="P439" s="80"/>
      <c r="Q439" s="76">
        <f t="shared" si="46"/>
        <v>0</v>
      </c>
      <c r="R439" s="76">
        <f t="shared" si="47"/>
        <v>0</v>
      </c>
      <c r="S439" s="76">
        <f t="shared" si="48"/>
        <v>0</v>
      </c>
      <c r="T439" s="30">
        <v>0</v>
      </c>
    </row>
    <row r="440" spans="1:20" ht="18.75" x14ac:dyDescent="0.25">
      <c r="A440" s="21" t="s">
        <v>419</v>
      </c>
      <c r="B440" s="21" t="s">
        <v>18</v>
      </c>
      <c r="C440" s="21" t="s">
        <v>62</v>
      </c>
      <c r="D440" s="21" t="s">
        <v>528</v>
      </c>
      <c r="E440" s="21" t="s">
        <v>70</v>
      </c>
      <c r="F440" s="34" t="s">
        <v>529</v>
      </c>
      <c r="G440" s="21" t="s">
        <v>530</v>
      </c>
      <c r="H440" s="21" t="s">
        <v>290</v>
      </c>
      <c r="I440" s="21" t="s">
        <v>1068</v>
      </c>
      <c r="J440" s="21" t="s">
        <v>572</v>
      </c>
      <c r="K440" s="21" t="s">
        <v>573</v>
      </c>
      <c r="L440" s="21"/>
      <c r="M440" s="21"/>
      <c r="N440" s="77"/>
      <c r="O440" s="80"/>
      <c r="P440" s="80"/>
      <c r="Q440" s="76">
        <f t="shared" si="46"/>
        <v>0</v>
      </c>
      <c r="R440" s="76">
        <f t="shared" si="47"/>
        <v>0</v>
      </c>
      <c r="S440" s="76">
        <f t="shared" si="48"/>
        <v>0</v>
      </c>
      <c r="T440" s="30">
        <v>0</v>
      </c>
    </row>
    <row r="441" spans="1:20" ht="18.75" x14ac:dyDescent="0.25">
      <c r="A441" s="21" t="s">
        <v>419</v>
      </c>
      <c r="B441" s="21" t="s">
        <v>18</v>
      </c>
      <c r="C441" s="21" t="s">
        <v>62</v>
      </c>
      <c r="D441" s="21" t="s">
        <v>528</v>
      </c>
      <c r="E441" s="21" t="s">
        <v>70</v>
      </c>
      <c r="F441" s="34" t="s">
        <v>529</v>
      </c>
      <c r="G441" s="21" t="s">
        <v>530</v>
      </c>
      <c r="H441" s="21" t="s">
        <v>223</v>
      </c>
      <c r="I441" s="21" t="s">
        <v>1069</v>
      </c>
      <c r="J441" s="21" t="s">
        <v>574</v>
      </c>
      <c r="K441" s="21" t="s">
        <v>575</v>
      </c>
      <c r="L441" s="21"/>
      <c r="M441" s="21"/>
      <c r="N441" s="77"/>
      <c r="O441" s="80"/>
      <c r="P441" s="80"/>
      <c r="Q441" s="76">
        <f t="shared" si="46"/>
        <v>0</v>
      </c>
      <c r="R441" s="76">
        <f t="shared" si="47"/>
        <v>0</v>
      </c>
      <c r="S441" s="76">
        <f t="shared" si="48"/>
        <v>0</v>
      </c>
      <c r="T441" s="30">
        <v>0</v>
      </c>
    </row>
    <row r="442" spans="1:20" ht="18.75" x14ac:dyDescent="0.25">
      <c r="A442" s="21" t="s">
        <v>419</v>
      </c>
      <c r="B442" s="21" t="s">
        <v>18</v>
      </c>
      <c r="C442" s="21" t="s">
        <v>62</v>
      </c>
      <c r="D442" s="21" t="s">
        <v>528</v>
      </c>
      <c r="E442" s="21" t="s">
        <v>70</v>
      </c>
      <c r="F442" s="34" t="s">
        <v>529</v>
      </c>
      <c r="G442" s="21" t="s">
        <v>530</v>
      </c>
      <c r="H442" s="21" t="s">
        <v>429</v>
      </c>
      <c r="I442" s="21" t="s">
        <v>1070</v>
      </c>
      <c r="J442" s="21" t="s">
        <v>576</v>
      </c>
      <c r="K442" s="21" t="s">
        <v>577</v>
      </c>
      <c r="L442" s="21"/>
      <c r="M442" s="21"/>
      <c r="N442" s="77"/>
      <c r="O442" s="80"/>
      <c r="P442" s="80"/>
      <c r="Q442" s="76">
        <f t="shared" si="46"/>
        <v>0</v>
      </c>
      <c r="R442" s="76">
        <f t="shared" si="47"/>
        <v>0</v>
      </c>
      <c r="S442" s="76">
        <f t="shared" si="48"/>
        <v>0</v>
      </c>
      <c r="T442" s="30">
        <v>0</v>
      </c>
    </row>
    <row r="443" spans="1:20" ht="18.75" x14ac:dyDescent="0.25">
      <c r="A443" s="21" t="s">
        <v>419</v>
      </c>
      <c r="B443" s="21" t="s">
        <v>18</v>
      </c>
      <c r="C443" s="21" t="s">
        <v>62</v>
      </c>
      <c r="D443" s="21" t="s">
        <v>528</v>
      </c>
      <c r="E443" s="21" t="s">
        <v>70</v>
      </c>
      <c r="F443" s="34" t="s">
        <v>529</v>
      </c>
      <c r="G443" s="21" t="s">
        <v>530</v>
      </c>
      <c r="H443" s="21" t="s">
        <v>432</v>
      </c>
      <c r="I443" s="21" t="s">
        <v>1071</v>
      </c>
      <c r="J443" s="21" t="s">
        <v>578</v>
      </c>
      <c r="K443" s="21" t="s">
        <v>579</v>
      </c>
      <c r="L443" s="21"/>
      <c r="M443" s="21"/>
      <c r="N443" s="77"/>
      <c r="O443" s="80"/>
      <c r="P443" s="80"/>
      <c r="Q443" s="76">
        <f t="shared" si="46"/>
        <v>0</v>
      </c>
      <c r="R443" s="76">
        <f t="shared" si="47"/>
        <v>0</v>
      </c>
      <c r="S443" s="76">
        <f t="shared" si="48"/>
        <v>0</v>
      </c>
      <c r="T443" s="30">
        <v>0</v>
      </c>
    </row>
    <row r="444" spans="1:20" ht="18.75" x14ac:dyDescent="0.25">
      <c r="A444" s="21" t="s">
        <v>419</v>
      </c>
      <c r="B444" s="21" t="s">
        <v>18</v>
      </c>
      <c r="C444" s="21" t="s">
        <v>62</v>
      </c>
      <c r="D444" s="21" t="s">
        <v>528</v>
      </c>
      <c r="E444" s="21" t="s">
        <v>70</v>
      </c>
      <c r="F444" s="34" t="s">
        <v>529</v>
      </c>
      <c r="G444" s="21" t="s">
        <v>530</v>
      </c>
      <c r="H444" s="21" t="s">
        <v>435</v>
      </c>
      <c r="I444" s="21" t="s">
        <v>1072</v>
      </c>
      <c r="J444" s="21" t="s">
        <v>580</v>
      </c>
      <c r="K444" s="21" t="s">
        <v>581</v>
      </c>
      <c r="L444" s="21"/>
      <c r="M444" s="21"/>
      <c r="N444" s="77"/>
      <c r="O444" s="80"/>
      <c r="P444" s="80"/>
      <c r="Q444" s="76">
        <f t="shared" si="46"/>
        <v>0</v>
      </c>
      <c r="R444" s="76">
        <f t="shared" si="47"/>
        <v>0</v>
      </c>
      <c r="S444" s="76">
        <f t="shared" si="48"/>
        <v>0</v>
      </c>
      <c r="T444" s="30">
        <v>0</v>
      </c>
    </row>
    <row r="445" spans="1:20" ht="18.75" x14ac:dyDescent="0.25">
      <c r="A445" s="21" t="s">
        <v>419</v>
      </c>
      <c r="B445" s="21" t="s">
        <v>18</v>
      </c>
      <c r="C445" s="21" t="s">
        <v>62</v>
      </c>
      <c r="D445" s="21" t="s">
        <v>528</v>
      </c>
      <c r="E445" s="21" t="s">
        <v>70</v>
      </c>
      <c r="F445" s="34" t="s">
        <v>529</v>
      </c>
      <c r="G445" s="21" t="s">
        <v>530</v>
      </c>
      <c r="H445" s="21" t="s">
        <v>438</v>
      </c>
      <c r="I445" s="21" t="s">
        <v>1073</v>
      </c>
      <c r="J445" s="21" t="s">
        <v>582</v>
      </c>
      <c r="K445" s="21" t="s">
        <v>583</v>
      </c>
      <c r="L445" s="21"/>
      <c r="M445" s="21"/>
      <c r="N445" s="77"/>
      <c r="O445" s="80"/>
      <c r="P445" s="80"/>
      <c r="Q445" s="76">
        <f t="shared" si="46"/>
        <v>0</v>
      </c>
      <c r="R445" s="76">
        <f t="shared" si="47"/>
        <v>0</v>
      </c>
      <c r="S445" s="76">
        <f t="shared" si="48"/>
        <v>0</v>
      </c>
      <c r="T445" s="30">
        <v>0</v>
      </c>
    </row>
    <row r="446" spans="1:20" ht="18.75" x14ac:dyDescent="0.25">
      <c r="A446" s="21" t="s">
        <v>419</v>
      </c>
      <c r="B446" s="21" t="s">
        <v>18</v>
      </c>
      <c r="C446" s="21" t="s">
        <v>62</v>
      </c>
      <c r="D446" s="21" t="s">
        <v>528</v>
      </c>
      <c r="E446" s="21" t="s">
        <v>70</v>
      </c>
      <c r="F446" s="34" t="s">
        <v>529</v>
      </c>
      <c r="G446" s="21" t="s">
        <v>530</v>
      </c>
      <c r="H446" s="21" t="s">
        <v>180</v>
      </c>
      <c r="I446" s="21" t="s">
        <v>1074</v>
      </c>
      <c r="J446" s="21" t="s">
        <v>584</v>
      </c>
      <c r="K446" s="21" t="s">
        <v>585</v>
      </c>
      <c r="L446" s="21"/>
      <c r="M446" s="21"/>
      <c r="N446" s="77"/>
      <c r="O446" s="80"/>
      <c r="P446" s="80"/>
      <c r="Q446" s="76">
        <f t="shared" si="46"/>
        <v>0</v>
      </c>
      <c r="R446" s="76">
        <f t="shared" si="47"/>
        <v>0</v>
      </c>
      <c r="S446" s="76">
        <f t="shared" si="48"/>
        <v>0</v>
      </c>
      <c r="T446" s="30" t="s">
        <v>1230</v>
      </c>
    </row>
    <row r="447" spans="1:20" ht="18.75" x14ac:dyDescent="0.25">
      <c r="A447" s="21" t="s">
        <v>419</v>
      </c>
      <c r="B447" s="21" t="s">
        <v>18</v>
      </c>
      <c r="C447" s="21" t="s">
        <v>62</v>
      </c>
      <c r="D447" s="21" t="s">
        <v>528</v>
      </c>
      <c r="E447" s="21" t="s">
        <v>70</v>
      </c>
      <c r="F447" s="34" t="s">
        <v>529</v>
      </c>
      <c r="G447" s="21" t="s">
        <v>530</v>
      </c>
      <c r="H447" s="21" t="s">
        <v>337</v>
      </c>
      <c r="I447" s="21" t="s">
        <v>1075</v>
      </c>
      <c r="J447" s="21" t="s">
        <v>586</v>
      </c>
      <c r="K447" s="21" t="s">
        <v>587</v>
      </c>
      <c r="L447" s="21"/>
      <c r="M447" s="21"/>
      <c r="N447" s="77"/>
      <c r="O447" s="80"/>
      <c r="P447" s="80"/>
      <c r="Q447" s="76">
        <f t="shared" si="46"/>
        <v>0</v>
      </c>
      <c r="R447" s="76">
        <f t="shared" si="47"/>
        <v>0</v>
      </c>
      <c r="S447" s="76">
        <f t="shared" si="48"/>
        <v>0</v>
      </c>
      <c r="T447" s="30">
        <v>0</v>
      </c>
    </row>
    <row r="448" spans="1:20" ht="18.75" x14ac:dyDescent="0.25">
      <c r="A448" s="21" t="s">
        <v>419</v>
      </c>
      <c r="B448" s="21" t="s">
        <v>18</v>
      </c>
      <c r="C448" s="21" t="s">
        <v>62</v>
      </c>
      <c r="D448" s="21" t="s">
        <v>528</v>
      </c>
      <c r="E448" s="21" t="s">
        <v>70</v>
      </c>
      <c r="F448" s="34" t="s">
        <v>529</v>
      </c>
      <c r="G448" s="21" t="s">
        <v>530</v>
      </c>
      <c r="H448" s="21" t="s">
        <v>350</v>
      </c>
      <c r="I448" s="21" t="s">
        <v>1076</v>
      </c>
      <c r="J448" s="21" t="s">
        <v>588</v>
      </c>
      <c r="K448" s="21" t="s">
        <v>589</v>
      </c>
      <c r="L448" s="21"/>
      <c r="M448" s="21"/>
      <c r="N448" s="77"/>
      <c r="O448" s="80"/>
      <c r="P448" s="80"/>
      <c r="Q448" s="76">
        <f t="shared" si="46"/>
        <v>0</v>
      </c>
      <c r="R448" s="76">
        <f t="shared" si="47"/>
        <v>0</v>
      </c>
      <c r="S448" s="76">
        <f t="shared" si="48"/>
        <v>0</v>
      </c>
      <c r="T448" s="30">
        <v>0</v>
      </c>
    </row>
    <row r="449" spans="1:20" ht="18.75" x14ac:dyDescent="0.25">
      <c r="A449" s="21" t="s">
        <v>419</v>
      </c>
      <c r="B449" s="21" t="s">
        <v>18</v>
      </c>
      <c r="C449" s="21" t="s">
        <v>62</v>
      </c>
      <c r="D449" s="21" t="s">
        <v>528</v>
      </c>
      <c r="E449" s="21" t="s">
        <v>70</v>
      </c>
      <c r="F449" s="34" t="s">
        <v>529</v>
      </c>
      <c r="G449" s="21" t="s">
        <v>530</v>
      </c>
      <c r="H449" s="21" t="s">
        <v>447</v>
      </c>
      <c r="I449" s="21" t="s">
        <v>1077</v>
      </c>
      <c r="J449" s="21" t="s">
        <v>590</v>
      </c>
      <c r="K449" s="21" t="s">
        <v>591</v>
      </c>
      <c r="L449" s="21"/>
      <c r="M449" s="21"/>
      <c r="N449" s="77"/>
      <c r="O449" s="80"/>
      <c r="P449" s="80"/>
      <c r="Q449" s="76">
        <f t="shared" si="46"/>
        <v>0</v>
      </c>
      <c r="R449" s="76">
        <f t="shared" si="47"/>
        <v>0</v>
      </c>
      <c r="S449" s="76">
        <f t="shared" si="48"/>
        <v>0</v>
      </c>
      <c r="T449" s="30">
        <v>0</v>
      </c>
    </row>
    <row r="450" spans="1:20" ht="30" x14ac:dyDescent="0.25">
      <c r="A450" s="21" t="s">
        <v>419</v>
      </c>
      <c r="B450" s="21" t="s">
        <v>18</v>
      </c>
      <c r="C450" s="21" t="s">
        <v>62</v>
      </c>
      <c r="D450" s="21" t="s">
        <v>528</v>
      </c>
      <c r="E450" s="21" t="s">
        <v>70</v>
      </c>
      <c r="F450" s="34" t="s">
        <v>529</v>
      </c>
      <c r="G450" s="21" t="s">
        <v>530</v>
      </c>
      <c r="H450" s="21" t="s">
        <v>450</v>
      </c>
      <c r="I450" s="21" t="s">
        <v>1078</v>
      </c>
      <c r="J450" s="21" t="s">
        <v>592</v>
      </c>
      <c r="K450" s="21" t="s">
        <v>593</v>
      </c>
      <c r="L450" s="21"/>
      <c r="M450" s="21"/>
      <c r="N450" s="77"/>
      <c r="O450" s="80"/>
      <c r="P450" s="80"/>
      <c r="Q450" s="76">
        <f t="shared" si="46"/>
        <v>0</v>
      </c>
      <c r="R450" s="76">
        <f t="shared" si="47"/>
        <v>0</v>
      </c>
      <c r="S450" s="76">
        <f t="shared" si="48"/>
        <v>0</v>
      </c>
      <c r="T450" s="30">
        <v>0</v>
      </c>
    </row>
    <row r="451" spans="1:20" ht="18.75" x14ac:dyDescent="0.25">
      <c r="A451" s="21" t="s">
        <v>419</v>
      </c>
      <c r="B451" s="21" t="s">
        <v>18</v>
      </c>
      <c r="C451" s="21" t="s">
        <v>62</v>
      </c>
      <c r="D451" s="21" t="s">
        <v>528</v>
      </c>
      <c r="E451" s="21" t="s">
        <v>70</v>
      </c>
      <c r="F451" s="34" t="s">
        <v>529</v>
      </c>
      <c r="G451" s="21" t="s">
        <v>530</v>
      </c>
      <c r="H451" s="21" t="s">
        <v>456</v>
      </c>
      <c r="I451" s="21" t="s">
        <v>1079</v>
      </c>
      <c r="J451" s="21" t="s">
        <v>594</v>
      </c>
      <c r="K451" s="21" t="s">
        <v>595</v>
      </c>
      <c r="L451" s="21"/>
      <c r="M451" s="21"/>
      <c r="N451" s="77"/>
      <c r="O451" s="80"/>
      <c r="P451" s="80"/>
      <c r="Q451" s="76">
        <f t="shared" ref="Q451:Q482" si="49">IF($H451=0,0,COUNTIF(I:I,I451)-1)</f>
        <v>0</v>
      </c>
      <c r="R451" s="76">
        <f t="shared" ref="R451:R482" si="50">IF($H451=0,0,COUNTIF(J:J,J451)-1)</f>
        <v>0</v>
      </c>
      <c r="S451" s="76">
        <f t="shared" ref="S451:S482" si="51">IF($H451=0,0,COUNTIF(K:K,K451)-1)</f>
        <v>0</v>
      </c>
      <c r="T451" s="30">
        <v>0</v>
      </c>
    </row>
    <row r="452" spans="1:20" ht="18.75" x14ac:dyDescent="0.25">
      <c r="A452" s="21" t="s">
        <v>419</v>
      </c>
      <c r="B452" s="21" t="s">
        <v>18</v>
      </c>
      <c r="C452" s="21" t="s">
        <v>62</v>
      </c>
      <c r="D452" s="21" t="s">
        <v>528</v>
      </c>
      <c r="E452" s="21" t="s">
        <v>70</v>
      </c>
      <c r="F452" s="34" t="s">
        <v>529</v>
      </c>
      <c r="G452" s="21" t="s">
        <v>530</v>
      </c>
      <c r="H452" s="21" t="s">
        <v>459</v>
      </c>
      <c r="I452" s="21" t="s">
        <v>1080</v>
      </c>
      <c r="J452" s="21" t="s">
        <v>596</v>
      </c>
      <c r="K452" s="21" t="s">
        <v>597</v>
      </c>
      <c r="L452" s="21"/>
      <c r="M452" s="21"/>
      <c r="N452" s="77"/>
      <c r="O452" s="80"/>
      <c r="P452" s="80"/>
      <c r="Q452" s="76">
        <f t="shared" si="49"/>
        <v>0</v>
      </c>
      <c r="R452" s="76">
        <f t="shared" si="50"/>
        <v>0</v>
      </c>
      <c r="S452" s="76">
        <f t="shared" si="51"/>
        <v>0</v>
      </c>
      <c r="T452" s="30">
        <v>0</v>
      </c>
    </row>
    <row r="453" spans="1:20" ht="18.75" x14ac:dyDescent="0.25">
      <c r="A453" s="21" t="s">
        <v>419</v>
      </c>
      <c r="B453" s="21" t="s">
        <v>18</v>
      </c>
      <c r="C453" s="21" t="s">
        <v>62</v>
      </c>
      <c r="D453" s="21" t="s">
        <v>528</v>
      </c>
      <c r="E453" s="21" t="s">
        <v>70</v>
      </c>
      <c r="F453" s="34" t="s">
        <v>529</v>
      </c>
      <c r="G453" s="21" t="s">
        <v>530</v>
      </c>
      <c r="H453" s="21" t="s">
        <v>462</v>
      </c>
      <c r="I453" s="21" t="s">
        <v>1081</v>
      </c>
      <c r="J453" s="21" t="s">
        <v>598</v>
      </c>
      <c r="K453" s="21" t="s">
        <v>599</v>
      </c>
      <c r="L453" s="21"/>
      <c r="M453" s="21"/>
      <c r="N453" s="77"/>
      <c r="O453" s="80"/>
      <c r="P453" s="80"/>
      <c r="Q453" s="76">
        <f t="shared" si="49"/>
        <v>0</v>
      </c>
      <c r="R453" s="76">
        <f t="shared" si="50"/>
        <v>0</v>
      </c>
      <c r="S453" s="76">
        <f t="shared" si="51"/>
        <v>0</v>
      </c>
      <c r="T453" s="30">
        <v>0</v>
      </c>
    </row>
    <row r="454" spans="1:20" ht="18.75" x14ac:dyDescent="0.25">
      <c r="A454" s="21" t="s">
        <v>419</v>
      </c>
      <c r="B454" s="21" t="s">
        <v>18</v>
      </c>
      <c r="C454" s="21" t="s">
        <v>62</v>
      </c>
      <c r="D454" s="21" t="s">
        <v>528</v>
      </c>
      <c r="E454" s="21" t="s">
        <v>70</v>
      </c>
      <c r="F454" s="34" t="s">
        <v>529</v>
      </c>
      <c r="G454" s="21" t="s">
        <v>530</v>
      </c>
      <c r="H454" s="21" t="s">
        <v>198</v>
      </c>
      <c r="I454" s="21" t="s">
        <v>1082</v>
      </c>
      <c r="J454" s="21" t="s">
        <v>600</v>
      </c>
      <c r="K454" s="21" t="s">
        <v>601</v>
      </c>
      <c r="L454" s="21"/>
      <c r="M454" s="21"/>
      <c r="N454" s="77"/>
      <c r="O454" s="80"/>
      <c r="P454" s="80"/>
      <c r="Q454" s="76">
        <f t="shared" si="49"/>
        <v>0</v>
      </c>
      <c r="R454" s="76">
        <f t="shared" si="50"/>
        <v>0</v>
      </c>
      <c r="S454" s="76">
        <f t="shared" si="51"/>
        <v>0</v>
      </c>
      <c r="T454" s="30">
        <v>0</v>
      </c>
    </row>
    <row r="455" spans="1:20" ht="18.75" x14ac:dyDescent="0.25">
      <c r="A455" s="21" t="s">
        <v>419</v>
      </c>
      <c r="B455" s="21" t="s">
        <v>18</v>
      </c>
      <c r="C455" s="21" t="s">
        <v>62</v>
      </c>
      <c r="D455" s="21" t="s">
        <v>528</v>
      </c>
      <c r="E455" s="21" t="s">
        <v>70</v>
      </c>
      <c r="F455" s="34" t="s">
        <v>529</v>
      </c>
      <c r="G455" s="21" t="s">
        <v>530</v>
      </c>
      <c r="H455" s="21" t="s">
        <v>356</v>
      </c>
      <c r="I455" s="21" t="s">
        <v>1083</v>
      </c>
      <c r="J455" s="21" t="s">
        <v>602</v>
      </c>
      <c r="K455" s="21" t="s">
        <v>1630</v>
      </c>
      <c r="L455" s="21"/>
      <c r="M455" s="21"/>
      <c r="N455" s="77"/>
      <c r="O455" s="80"/>
      <c r="P455" s="80"/>
      <c r="Q455" s="76">
        <f t="shared" si="49"/>
        <v>0</v>
      </c>
      <c r="R455" s="76">
        <f t="shared" si="50"/>
        <v>0</v>
      </c>
      <c r="S455" s="76">
        <f t="shared" si="51"/>
        <v>0</v>
      </c>
      <c r="T455" s="30">
        <v>0</v>
      </c>
    </row>
    <row r="456" spans="1:20" ht="18.75" x14ac:dyDescent="0.25">
      <c r="A456" s="21" t="s">
        <v>419</v>
      </c>
      <c r="B456" s="21" t="s">
        <v>18</v>
      </c>
      <c r="C456" s="21" t="s">
        <v>62</v>
      </c>
      <c r="D456" s="21" t="s">
        <v>528</v>
      </c>
      <c r="E456" s="21" t="s">
        <v>70</v>
      </c>
      <c r="F456" s="34" t="s">
        <v>529</v>
      </c>
      <c r="G456" s="21" t="s">
        <v>530</v>
      </c>
      <c r="H456" s="21" t="s">
        <v>381</v>
      </c>
      <c r="I456" s="21" t="s">
        <v>1084</v>
      </c>
      <c r="J456" s="21" t="s">
        <v>603</v>
      </c>
      <c r="K456" s="21" t="s">
        <v>604</v>
      </c>
      <c r="L456" s="21"/>
      <c r="M456" s="21"/>
      <c r="N456" s="77"/>
      <c r="O456" s="80"/>
      <c r="P456" s="80"/>
      <c r="Q456" s="76">
        <f t="shared" si="49"/>
        <v>0</v>
      </c>
      <c r="R456" s="76">
        <f t="shared" si="50"/>
        <v>0</v>
      </c>
      <c r="S456" s="76">
        <f t="shared" si="51"/>
        <v>0</v>
      </c>
      <c r="T456" s="30">
        <v>0</v>
      </c>
    </row>
    <row r="457" spans="1:20" ht="18.75" x14ac:dyDescent="0.25">
      <c r="A457" s="21" t="s">
        <v>419</v>
      </c>
      <c r="B457" s="21" t="s">
        <v>18</v>
      </c>
      <c r="C457" s="21" t="s">
        <v>62</v>
      </c>
      <c r="D457" s="21" t="s">
        <v>528</v>
      </c>
      <c r="E457" s="21" t="s">
        <v>70</v>
      </c>
      <c r="F457" s="34" t="s">
        <v>529</v>
      </c>
      <c r="G457" s="21" t="s">
        <v>530</v>
      </c>
      <c r="H457" s="21" t="s">
        <v>471</v>
      </c>
      <c r="I457" s="21" t="s">
        <v>1085</v>
      </c>
      <c r="J457" s="21" t="s">
        <v>605</v>
      </c>
      <c r="K457" s="21" t="s">
        <v>606</v>
      </c>
      <c r="L457" s="21"/>
      <c r="M457" s="21"/>
      <c r="N457" s="77"/>
      <c r="O457" s="80"/>
      <c r="P457" s="80"/>
      <c r="Q457" s="76">
        <f t="shared" si="49"/>
        <v>0</v>
      </c>
      <c r="R457" s="76">
        <f t="shared" si="50"/>
        <v>0</v>
      </c>
      <c r="S457" s="76">
        <f t="shared" si="51"/>
        <v>0</v>
      </c>
      <c r="T457" s="30">
        <v>0</v>
      </c>
    </row>
    <row r="458" spans="1:20" ht="18.75" x14ac:dyDescent="0.25">
      <c r="A458" s="21" t="s">
        <v>419</v>
      </c>
      <c r="B458" s="21" t="s">
        <v>18</v>
      </c>
      <c r="C458" s="21" t="s">
        <v>62</v>
      </c>
      <c r="D458" s="21" t="s">
        <v>528</v>
      </c>
      <c r="E458" s="21" t="s">
        <v>70</v>
      </c>
      <c r="F458" s="34" t="s">
        <v>529</v>
      </c>
      <c r="G458" s="21" t="s">
        <v>530</v>
      </c>
      <c r="H458" s="21" t="s">
        <v>474</v>
      </c>
      <c r="I458" s="21" t="s">
        <v>1086</v>
      </c>
      <c r="J458" s="21" t="s">
        <v>607</v>
      </c>
      <c r="K458" s="21" t="s">
        <v>608</v>
      </c>
      <c r="L458" s="21"/>
      <c r="M458" s="21"/>
      <c r="N458" s="77"/>
      <c r="O458" s="80"/>
      <c r="P458" s="80"/>
      <c r="Q458" s="76">
        <f t="shared" si="49"/>
        <v>0</v>
      </c>
      <c r="R458" s="76">
        <f t="shared" si="50"/>
        <v>0</v>
      </c>
      <c r="S458" s="76">
        <f t="shared" si="51"/>
        <v>0</v>
      </c>
      <c r="T458" s="30">
        <v>0</v>
      </c>
    </row>
    <row r="459" spans="1:20" ht="18.75" x14ac:dyDescent="0.25">
      <c r="A459" s="21" t="s">
        <v>419</v>
      </c>
      <c r="B459" s="21" t="s">
        <v>18</v>
      </c>
      <c r="C459" s="21" t="s">
        <v>62</v>
      </c>
      <c r="D459" s="21" t="s">
        <v>528</v>
      </c>
      <c r="E459" s="21" t="s">
        <v>70</v>
      </c>
      <c r="F459" s="34" t="s">
        <v>529</v>
      </c>
      <c r="G459" s="21" t="s">
        <v>530</v>
      </c>
      <c r="H459" s="21" t="s">
        <v>477</v>
      </c>
      <c r="I459" s="21" t="s">
        <v>1087</v>
      </c>
      <c r="J459" s="21" t="s">
        <v>609</v>
      </c>
      <c r="K459" s="21" t="s">
        <v>610</v>
      </c>
      <c r="L459" s="21"/>
      <c r="M459" s="21"/>
      <c r="N459" s="77"/>
      <c r="O459" s="80"/>
      <c r="P459" s="80"/>
      <c r="Q459" s="76">
        <f t="shared" si="49"/>
        <v>0</v>
      </c>
      <c r="R459" s="76">
        <f t="shared" si="50"/>
        <v>0</v>
      </c>
      <c r="S459" s="76">
        <f t="shared" si="51"/>
        <v>0</v>
      </c>
      <c r="T459" s="30">
        <v>0</v>
      </c>
    </row>
    <row r="460" spans="1:20" ht="18.75" x14ac:dyDescent="0.25">
      <c r="A460" s="21" t="s">
        <v>419</v>
      </c>
      <c r="B460" s="21" t="s">
        <v>18</v>
      </c>
      <c r="C460" s="21" t="s">
        <v>62</v>
      </c>
      <c r="D460" s="21" t="s">
        <v>528</v>
      </c>
      <c r="E460" s="21" t="s">
        <v>70</v>
      </c>
      <c r="F460" s="34" t="s">
        <v>529</v>
      </c>
      <c r="G460" s="21" t="s">
        <v>530</v>
      </c>
      <c r="H460" s="21" t="s">
        <v>479</v>
      </c>
      <c r="I460" s="21" t="s">
        <v>1088</v>
      </c>
      <c r="J460" s="21" t="s">
        <v>611</v>
      </c>
      <c r="K460" s="21" t="s">
        <v>612</v>
      </c>
      <c r="L460" s="21"/>
      <c r="M460" s="21"/>
      <c r="N460" s="77"/>
      <c r="O460" s="80"/>
      <c r="P460" s="80"/>
      <c r="Q460" s="76">
        <f t="shared" si="49"/>
        <v>0</v>
      </c>
      <c r="R460" s="76">
        <f t="shared" si="50"/>
        <v>0</v>
      </c>
      <c r="S460" s="76">
        <f t="shared" si="51"/>
        <v>0</v>
      </c>
      <c r="T460" s="30">
        <v>0</v>
      </c>
    </row>
    <row r="461" spans="1:20" ht="18.75" x14ac:dyDescent="0.25">
      <c r="A461" s="21" t="s">
        <v>419</v>
      </c>
      <c r="B461" s="21" t="s">
        <v>18</v>
      </c>
      <c r="C461" s="21" t="s">
        <v>62</v>
      </c>
      <c r="D461" s="21" t="s">
        <v>528</v>
      </c>
      <c r="E461" s="21" t="s">
        <v>70</v>
      </c>
      <c r="F461" s="34" t="s">
        <v>529</v>
      </c>
      <c r="G461" s="21" t="s">
        <v>530</v>
      </c>
      <c r="H461" s="21" t="s">
        <v>482</v>
      </c>
      <c r="I461" s="21" t="s">
        <v>1089</v>
      </c>
      <c r="J461" s="21" t="s">
        <v>613</v>
      </c>
      <c r="K461" s="21" t="s">
        <v>614</v>
      </c>
      <c r="L461" s="21"/>
      <c r="M461" s="21"/>
      <c r="N461" s="77"/>
      <c r="O461" s="80"/>
      <c r="P461" s="80"/>
      <c r="Q461" s="76">
        <f t="shared" si="49"/>
        <v>0</v>
      </c>
      <c r="R461" s="76">
        <f t="shared" si="50"/>
        <v>0</v>
      </c>
      <c r="S461" s="76">
        <f t="shared" si="51"/>
        <v>0</v>
      </c>
      <c r="T461" s="30">
        <v>0</v>
      </c>
    </row>
    <row r="462" spans="1:20" ht="18.75" x14ac:dyDescent="0.25">
      <c r="A462" s="21" t="s">
        <v>419</v>
      </c>
      <c r="B462" s="21" t="s">
        <v>18</v>
      </c>
      <c r="C462" s="21" t="s">
        <v>62</v>
      </c>
      <c r="D462" s="21" t="s">
        <v>528</v>
      </c>
      <c r="E462" s="21" t="s">
        <v>70</v>
      </c>
      <c r="F462" s="34" t="s">
        <v>529</v>
      </c>
      <c r="G462" s="21" t="s">
        <v>530</v>
      </c>
      <c r="H462" s="21" t="s">
        <v>485</v>
      </c>
      <c r="I462" s="21" t="s">
        <v>1090</v>
      </c>
      <c r="J462" s="21" t="s">
        <v>615</v>
      </c>
      <c r="K462" s="21" t="s">
        <v>616</v>
      </c>
      <c r="L462" s="21"/>
      <c r="M462" s="21"/>
      <c r="N462" s="77"/>
      <c r="O462" s="80"/>
      <c r="P462" s="80"/>
      <c r="Q462" s="76">
        <f t="shared" si="49"/>
        <v>0</v>
      </c>
      <c r="R462" s="76">
        <f t="shared" si="50"/>
        <v>0</v>
      </c>
      <c r="S462" s="76">
        <f t="shared" si="51"/>
        <v>0</v>
      </c>
      <c r="T462" s="30">
        <v>0</v>
      </c>
    </row>
    <row r="463" spans="1:20" ht="18.75" x14ac:dyDescent="0.25">
      <c r="A463" s="21" t="s">
        <v>419</v>
      </c>
      <c r="B463" s="21" t="s">
        <v>18</v>
      </c>
      <c r="C463" s="21" t="s">
        <v>62</v>
      </c>
      <c r="D463" s="21" t="s">
        <v>528</v>
      </c>
      <c r="E463" s="21" t="s">
        <v>70</v>
      </c>
      <c r="F463" s="34" t="s">
        <v>529</v>
      </c>
      <c r="G463" s="21" t="s">
        <v>530</v>
      </c>
      <c r="H463" s="21" t="s">
        <v>488</v>
      </c>
      <c r="I463" s="21" t="s">
        <v>1091</v>
      </c>
      <c r="J463" s="21" t="s">
        <v>617</v>
      </c>
      <c r="K463" s="21" t="s">
        <v>618</v>
      </c>
      <c r="L463" s="21"/>
      <c r="M463" s="21"/>
      <c r="N463" s="77"/>
      <c r="O463" s="80"/>
      <c r="P463" s="80"/>
      <c r="Q463" s="76">
        <f t="shared" si="49"/>
        <v>0</v>
      </c>
      <c r="R463" s="76">
        <f t="shared" si="50"/>
        <v>0</v>
      </c>
      <c r="S463" s="76">
        <f t="shared" si="51"/>
        <v>0</v>
      </c>
      <c r="T463" s="30">
        <v>0</v>
      </c>
    </row>
    <row r="464" spans="1:20" ht="18.75" x14ac:dyDescent="0.25">
      <c r="A464" s="21" t="s">
        <v>419</v>
      </c>
      <c r="B464" s="21" t="s">
        <v>18</v>
      </c>
      <c r="C464" s="21" t="s">
        <v>62</v>
      </c>
      <c r="D464" s="21" t="s">
        <v>528</v>
      </c>
      <c r="E464" s="21" t="s">
        <v>70</v>
      </c>
      <c r="F464" s="34" t="s">
        <v>529</v>
      </c>
      <c r="G464" s="21" t="s">
        <v>530</v>
      </c>
      <c r="H464" s="21" t="s">
        <v>491</v>
      </c>
      <c r="I464" s="21" t="s">
        <v>1092</v>
      </c>
      <c r="J464" s="21" t="s">
        <v>619</v>
      </c>
      <c r="K464" s="21" t="s">
        <v>620</v>
      </c>
      <c r="L464" s="21"/>
      <c r="M464" s="21"/>
      <c r="N464" s="77"/>
      <c r="O464" s="80"/>
      <c r="P464" s="80"/>
      <c r="Q464" s="76">
        <f t="shared" si="49"/>
        <v>0</v>
      </c>
      <c r="R464" s="76">
        <f t="shared" si="50"/>
        <v>0</v>
      </c>
      <c r="S464" s="76">
        <f t="shared" si="51"/>
        <v>0</v>
      </c>
      <c r="T464" s="30">
        <v>0</v>
      </c>
    </row>
    <row r="465" spans="1:20" ht="18.75" x14ac:dyDescent="0.25">
      <c r="A465" s="21" t="s">
        <v>419</v>
      </c>
      <c r="B465" s="21" t="s">
        <v>18</v>
      </c>
      <c r="C465" s="21" t="s">
        <v>62</v>
      </c>
      <c r="D465" s="21" t="s">
        <v>528</v>
      </c>
      <c r="E465" s="21" t="s">
        <v>70</v>
      </c>
      <c r="F465" s="34" t="s">
        <v>529</v>
      </c>
      <c r="G465" s="21" t="s">
        <v>530</v>
      </c>
      <c r="H465" s="21" t="s">
        <v>68</v>
      </c>
      <c r="I465" s="21" t="s">
        <v>1093</v>
      </c>
      <c r="J465" s="21" t="s">
        <v>621</v>
      </c>
      <c r="K465" s="21" t="s">
        <v>622</v>
      </c>
      <c r="L465" s="21"/>
      <c r="M465" s="21"/>
      <c r="N465" s="77"/>
      <c r="O465" s="80"/>
      <c r="P465" s="80"/>
      <c r="Q465" s="76">
        <f t="shared" si="49"/>
        <v>0</v>
      </c>
      <c r="R465" s="76">
        <f t="shared" si="50"/>
        <v>0</v>
      </c>
      <c r="S465" s="76">
        <f t="shared" si="51"/>
        <v>0</v>
      </c>
      <c r="T465" s="30">
        <v>0</v>
      </c>
    </row>
    <row r="466" spans="1:20" ht="18.75" x14ac:dyDescent="0.25">
      <c r="A466" s="21" t="s">
        <v>419</v>
      </c>
      <c r="B466" s="21" t="s">
        <v>18</v>
      </c>
      <c r="C466" s="21" t="s">
        <v>62</v>
      </c>
      <c r="D466" s="21" t="s">
        <v>528</v>
      </c>
      <c r="E466" s="21" t="s">
        <v>70</v>
      </c>
      <c r="F466" s="34" t="s">
        <v>529</v>
      </c>
      <c r="G466" s="21" t="s">
        <v>530</v>
      </c>
      <c r="H466" s="21" t="s">
        <v>496</v>
      </c>
      <c r="I466" s="21" t="s">
        <v>1094</v>
      </c>
      <c r="J466" s="21" t="s">
        <v>623</v>
      </c>
      <c r="K466" s="21" t="s">
        <v>624</v>
      </c>
      <c r="L466" s="21"/>
      <c r="M466" s="21"/>
      <c r="N466" s="77"/>
      <c r="O466" s="80"/>
      <c r="P466" s="80"/>
      <c r="Q466" s="76">
        <f t="shared" si="49"/>
        <v>0</v>
      </c>
      <c r="R466" s="76">
        <f t="shared" si="50"/>
        <v>0</v>
      </c>
      <c r="S466" s="76">
        <f t="shared" si="51"/>
        <v>0</v>
      </c>
      <c r="T466" s="30">
        <v>0</v>
      </c>
    </row>
    <row r="467" spans="1:20" ht="18.75" x14ac:dyDescent="0.25">
      <c r="A467" s="21" t="s">
        <v>419</v>
      </c>
      <c r="B467" s="21" t="s">
        <v>18</v>
      </c>
      <c r="C467" s="21" t="s">
        <v>62</v>
      </c>
      <c r="D467" s="21" t="s">
        <v>528</v>
      </c>
      <c r="E467" s="21" t="s">
        <v>70</v>
      </c>
      <c r="F467" s="34" t="s">
        <v>529</v>
      </c>
      <c r="G467" s="21" t="s">
        <v>530</v>
      </c>
      <c r="H467" s="21" t="s">
        <v>499</v>
      </c>
      <c r="I467" s="21" t="s">
        <v>1095</v>
      </c>
      <c r="J467" s="21" t="s">
        <v>625</v>
      </c>
      <c r="K467" s="21" t="s">
        <v>626</v>
      </c>
      <c r="L467" s="21"/>
      <c r="M467" s="21"/>
      <c r="N467" s="77"/>
      <c r="O467" s="80"/>
      <c r="P467" s="80"/>
      <c r="Q467" s="76">
        <f t="shared" si="49"/>
        <v>0</v>
      </c>
      <c r="R467" s="76">
        <f t="shared" si="50"/>
        <v>0</v>
      </c>
      <c r="S467" s="76">
        <f t="shared" si="51"/>
        <v>0</v>
      </c>
      <c r="T467" s="30">
        <v>0</v>
      </c>
    </row>
    <row r="468" spans="1:20" ht="18.75" x14ac:dyDescent="0.25">
      <c r="A468" s="21" t="s">
        <v>419</v>
      </c>
      <c r="B468" s="21" t="s">
        <v>18</v>
      </c>
      <c r="C468" s="21" t="s">
        <v>62</v>
      </c>
      <c r="D468" s="21" t="s">
        <v>528</v>
      </c>
      <c r="E468" s="21" t="s">
        <v>70</v>
      </c>
      <c r="F468" s="34" t="s">
        <v>529</v>
      </c>
      <c r="G468" s="21" t="s">
        <v>530</v>
      </c>
      <c r="H468" s="21" t="s">
        <v>502</v>
      </c>
      <c r="I468" s="21" t="s">
        <v>1096</v>
      </c>
      <c r="J468" s="21" t="s">
        <v>627</v>
      </c>
      <c r="K468" s="21" t="s">
        <v>628</v>
      </c>
      <c r="L468" s="21"/>
      <c r="M468" s="21"/>
      <c r="N468" s="77"/>
      <c r="O468" s="80"/>
      <c r="P468" s="80"/>
      <c r="Q468" s="76">
        <f t="shared" si="49"/>
        <v>0</v>
      </c>
      <c r="R468" s="76">
        <f t="shared" si="50"/>
        <v>0</v>
      </c>
      <c r="S468" s="76">
        <f t="shared" si="51"/>
        <v>0</v>
      </c>
      <c r="T468" s="30">
        <v>0</v>
      </c>
    </row>
    <row r="469" spans="1:20" ht="18.75" x14ac:dyDescent="0.25">
      <c r="A469" s="21" t="s">
        <v>419</v>
      </c>
      <c r="B469" s="21" t="s">
        <v>18</v>
      </c>
      <c r="C469" s="21" t="s">
        <v>62</v>
      </c>
      <c r="D469" s="21" t="s">
        <v>528</v>
      </c>
      <c r="E469" s="21" t="s">
        <v>70</v>
      </c>
      <c r="F469" s="34" t="s">
        <v>529</v>
      </c>
      <c r="G469" s="21" t="s">
        <v>530</v>
      </c>
      <c r="H469" s="21" t="s">
        <v>505</v>
      </c>
      <c r="I469" s="21" t="s">
        <v>1097</v>
      </c>
      <c r="J469" s="21" t="s">
        <v>629</v>
      </c>
      <c r="K469" s="21" t="s">
        <v>630</v>
      </c>
      <c r="L469" s="21"/>
      <c r="M469" s="21"/>
      <c r="N469" s="77"/>
      <c r="O469" s="80"/>
      <c r="P469" s="80"/>
      <c r="Q469" s="76">
        <f t="shared" si="49"/>
        <v>0</v>
      </c>
      <c r="R469" s="76">
        <f t="shared" si="50"/>
        <v>0</v>
      </c>
      <c r="S469" s="76">
        <f t="shared" si="51"/>
        <v>0</v>
      </c>
      <c r="T469" s="30">
        <v>0</v>
      </c>
    </row>
    <row r="470" spans="1:20" ht="18.75" x14ac:dyDescent="0.25">
      <c r="A470" s="21" t="s">
        <v>419</v>
      </c>
      <c r="B470" s="21" t="s">
        <v>18</v>
      </c>
      <c r="C470" s="21" t="s">
        <v>62</v>
      </c>
      <c r="D470" s="21" t="s">
        <v>528</v>
      </c>
      <c r="E470" s="21" t="s">
        <v>70</v>
      </c>
      <c r="F470" s="34" t="s">
        <v>529</v>
      </c>
      <c r="G470" s="21" t="s">
        <v>530</v>
      </c>
      <c r="H470" s="21" t="s">
        <v>631</v>
      </c>
      <c r="I470" s="21" t="s">
        <v>1098</v>
      </c>
      <c r="J470" s="21" t="s">
        <v>632</v>
      </c>
      <c r="K470" s="21" t="s">
        <v>633</v>
      </c>
      <c r="L470" s="21"/>
      <c r="M470" s="21"/>
      <c r="N470" s="77"/>
      <c r="O470" s="80"/>
      <c r="P470" s="80"/>
      <c r="Q470" s="76">
        <f t="shared" si="49"/>
        <v>0</v>
      </c>
      <c r="R470" s="76">
        <f t="shared" si="50"/>
        <v>0</v>
      </c>
      <c r="S470" s="76">
        <f t="shared" si="51"/>
        <v>0</v>
      </c>
      <c r="T470" s="30">
        <v>0</v>
      </c>
    </row>
    <row r="471" spans="1:20" ht="18.75" x14ac:dyDescent="0.25">
      <c r="A471" s="21" t="s">
        <v>419</v>
      </c>
      <c r="B471" s="21" t="s">
        <v>18</v>
      </c>
      <c r="C471" s="21" t="s">
        <v>62</v>
      </c>
      <c r="D471" s="21" t="s">
        <v>528</v>
      </c>
      <c r="E471" s="21" t="s">
        <v>70</v>
      </c>
      <c r="F471" s="34" t="s">
        <v>529</v>
      </c>
      <c r="G471" s="21" t="s">
        <v>530</v>
      </c>
      <c r="H471" s="21" t="s">
        <v>506</v>
      </c>
      <c r="I471" s="21" t="s">
        <v>1099</v>
      </c>
      <c r="J471" s="21" t="s">
        <v>634</v>
      </c>
      <c r="K471" s="21" t="s">
        <v>635</v>
      </c>
      <c r="L471" s="21"/>
      <c r="M471" s="21"/>
      <c r="N471" s="77"/>
      <c r="O471" s="80"/>
      <c r="P471" s="80"/>
      <c r="Q471" s="76">
        <f t="shared" si="49"/>
        <v>0</v>
      </c>
      <c r="R471" s="76">
        <f t="shared" si="50"/>
        <v>0</v>
      </c>
      <c r="S471" s="76">
        <f t="shared" si="51"/>
        <v>0</v>
      </c>
      <c r="T471" s="30">
        <v>0</v>
      </c>
    </row>
    <row r="472" spans="1:20" ht="18.75" x14ac:dyDescent="0.25">
      <c r="A472" s="21" t="s">
        <v>419</v>
      </c>
      <c r="B472" s="21" t="s">
        <v>18</v>
      </c>
      <c r="C472" s="21" t="s">
        <v>62</v>
      </c>
      <c r="D472" s="21" t="s">
        <v>528</v>
      </c>
      <c r="E472" s="21" t="s">
        <v>70</v>
      </c>
      <c r="F472" s="34" t="s">
        <v>529</v>
      </c>
      <c r="G472" s="21" t="s">
        <v>530</v>
      </c>
      <c r="H472" s="21" t="s">
        <v>636</v>
      </c>
      <c r="I472" s="21" t="s">
        <v>1100</v>
      </c>
      <c r="J472" s="21" t="s">
        <v>637</v>
      </c>
      <c r="K472" s="21" t="s">
        <v>638</v>
      </c>
      <c r="L472" s="21"/>
      <c r="M472" s="21"/>
      <c r="N472" s="77"/>
      <c r="O472" s="80"/>
      <c r="P472" s="80"/>
      <c r="Q472" s="76">
        <f t="shared" si="49"/>
        <v>0</v>
      </c>
      <c r="R472" s="76">
        <f t="shared" si="50"/>
        <v>0</v>
      </c>
      <c r="S472" s="76">
        <f t="shared" si="51"/>
        <v>0</v>
      </c>
      <c r="T472" s="30">
        <v>0</v>
      </c>
    </row>
    <row r="473" spans="1:20" ht="18.75" x14ac:dyDescent="0.25">
      <c r="A473" s="21" t="s">
        <v>419</v>
      </c>
      <c r="B473" s="21" t="s">
        <v>18</v>
      </c>
      <c r="C473" s="21" t="s">
        <v>62</v>
      </c>
      <c r="D473" s="21" t="s">
        <v>528</v>
      </c>
      <c r="E473" s="21" t="s">
        <v>70</v>
      </c>
      <c r="F473" s="34" t="s">
        <v>529</v>
      </c>
      <c r="G473" s="21" t="s">
        <v>530</v>
      </c>
      <c r="H473" s="21" t="s">
        <v>639</v>
      </c>
      <c r="I473" s="21" t="s">
        <v>1101</v>
      </c>
      <c r="J473" s="21" t="s">
        <v>640</v>
      </c>
      <c r="K473" s="21" t="s">
        <v>641</v>
      </c>
      <c r="L473" s="21"/>
      <c r="M473" s="21"/>
      <c r="N473" s="77"/>
      <c r="O473" s="80"/>
      <c r="P473" s="80"/>
      <c r="Q473" s="76">
        <f t="shared" si="49"/>
        <v>0</v>
      </c>
      <c r="R473" s="76">
        <f t="shared" si="50"/>
        <v>0</v>
      </c>
      <c r="S473" s="76">
        <f t="shared" si="51"/>
        <v>0</v>
      </c>
      <c r="T473" s="30">
        <v>0</v>
      </c>
    </row>
    <row r="474" spans="1:20" ht="18.75" x14ac:dyDescent="0.25">
      <c r="A474" s="21" t="s">
        <v>419</v>
      </c>
      <c r="B474" s="21" t="s">
        <v>18</v>
      </c>
      <c r="C474" s="21" t="s">
        <v>62</v>
      </c>
      <c r="D474" s="21" t="s">
        <v>528</v>
      </c>
      <c r="E474" s="21" t="s">
        <v>70</v>
      </c>
      <c r="F474" s="34" t="s">
        <v>529</v>
      </c>
      <c r="G474" s="21" t="s">
        <v>530</v>
      </c>
      <c r="H474" s="21" t="s">
        <v>642</v>
      </c>
      <c r="I474" s="21" t="s">
        <v>1102</v>
      </c>
      <c r="J474" s="21" t="s">
        <v>643</v>
      </c>
      <c r="K474" s="21" t="s">
        <v>644</v>
      </c>
      <c r="L474" s="21"/>
      <c r="M474" s="21"/>
      <c r="N474" s="77"/>
      <c r="O474" s="80"/>
      <c r="P474" s="80"/>
      <c r="Q474" s="76">
        <f t="shared" si="49"/>
        <v>0</v>
      </c>
      <c r="R474" s="76">
        <f t="shared" si="50"/>
        <v>0</v>
      </c>
      <c r="S474" s="76">
        <f t="shared" si="51"/>
        <v>0</v>
      </c>
      <c r="T474" s="30">
        <v>0</v>
      </c>
    </row>
    <row r="475" spans="1:20" ht="18.75" x14ac:dyDescent="0.25">
      <c r="A475" s="21" t="s">
        <v>419</v>
      </c>
      <c r="B475" s="21" t="s">
        <v>18</v>
      </c>
      <c r="C475" s="21" t="s">
        <v>62</v>
      </c>
      <c r="D475" s="21" t="s">
        <v>528</v>
      </c>
      <c r="E475" s="21" t="s">
        <v>70</v>
      </c>
      <c r="F475" s="34" t="s">
        <v>529</v>
      </c>
      <c r="G475" s="21" t="s">
        <v>530</v>
      </c>
      <c r="H475" s="21" t="s">
        <v>645</v>
      </c>
      <c r="I475" s="21" t="s">
        <v>1103</v>
      </c>
      <c r="J475" s="21" t="s">
        <v>646</v>
      </c>
      <c r="K475" s="21" t="s">
        <v>647</v>
      </c>
      <c r="L475" s="21"/>
      <c r="M475" s="21"/>
      <c r="N475" s="77"/>
      <c r="O475" s="80"/>
      <c r="P475" s="80"/>
      <c r="Q475" s="76">
        <f t="shared" si="49"/>
        <v>0</v>
      </c>
      <c r="R475" s="76">
        <f t="shared" si="50"/>
        <v>0</v>
      </c>
      <c r="S475" s="76">
        <f t="shared" si="51"/>
        <v>0</v>
      </c>
      <c r="T475" s="30">
        <v>0</v>
      </c>
    </row>
    <row r="476" spans="1:20" ht="18.75" x14ac:dyDescent="0.25">
      <c r="A476" s="21" t="s">
        <v>419</v>
      </c>
      <c r="B476" s="21" t="s">
        <v>18</v>
      </c>
      <c r="C476" s="21" t="s">
        <v>62</v>
      </c>
      <c r="D476" s="21" t="s">
        <v>528</v>
      </c>
      <c r="E476" s="21" t="s">
        <v>70</v>
      </c>
      <c r="F476" s="34" t="s">
        <v>529</v>
      </c>
      <c r="G476" s="21" t="s">
        <v>530</v>
      </c>
      <c r="H476" s="21" t="s">
        <v>648</v>
      </c>
      <c r="I476" s="21" t="s">
        <v>1104</v>
      </c>
      <c r="J476" s="21" t="s">
        <v>649</v>
      </c>
      <c r="K476" s="21" t="s">
        <v>650</v>
      </c>
      <c r="L476" s="21"/>
      <c r="M476" s="21"/>
      <c r="N476" s="77"/>
      <c r="O476" s="80"/>
      <c r="P476" s="80"/>
      <c r="Q476" s="76">
        <f t="shared" si="49"/>
        <v>0</v>
      </c>
      <c r="R476" s="76">
        <f t="shared" si="50"/>
        <v>0</v>
      </c>
      <c r="S476" s="76">
        <f t="shared" si="51"/>
        <v>0</v>
      </c>
      <c r="T476" s="30">
        <v>0</v>
      </c>
    </row>
    <row r="477" spans="1:20" ht="18.75" x14ac:dyDescent="0.25">
      <c r="A477" s="21" t="s">
        <v>419</v>
      </c>
      <c r="B477" s="21" t="s">
        <v>18</v>
      </c>
      <c r="C477" s="21" t="s">
        <v>62</v>
      </c>
      <c r="D477" s="21" t="s">
        <v>528</v>
      </c>
      <c r="E477" s="21" t="s">
        <v>70</v>
      </c>
      <c r="F477" s="34" t="s">
        <v>529</v>
      </c>
      <c r="G477" s="21" t="s">
        <v>530</v>
      </c>
      <c r="H477" s="21" t="s">
        <v>651</v>
      </c>
      <c r="I477" s="21" t="s">
        <v>1105</v>
      </c>
      <c r="J477" s="21" t="s">
        <v>652</v>
      </c>
      <c r="K477" s="21" t="s">
        <v>653</v>
      </c>
      <c r="L477" s="21"/>
      <c r="M477" s="21"/>
      <c r="N477" s="77"/>
      <c r="O477" s="80"/>
      <c r="P477" s="80"/>
      <c r="Q477" s="76">
        <f t="shared" si="49"/>
        <v>0</v>
      </c>
      <c r="R477" s="76">
        <f t="shared" si="50"/>
        <v>0</v>
      </c>
      <c r="S477" s="76">
        <f t="shared" si="51"/>
        <v>0</v>
      </c>
      <c r="T477" s="30">
        <v>0</v>
      </c>
    </row>
    <row r="478" spans="1:20" ht="18.75" x14ac:dyDescent="0.25">
      <c r="A478" s="21" t="s">
        <v>419</v>
      </c>
      <c r="B478" s="21" t="s">
        <v>18</v>
      </c>
      <c r="C478" s="21" t="s">
        <v>62</v>
      </c>
      <c r="D478" s="21" t="s">
        <v>528</v>
      </c>
      <c r="E478" s="21" t="s">
        <v>70</v>
      </c>
      <c r="F478" s="34" t="s">
        <v>529</v>
      </c>
      <c r="G478" s="21" t="s">
        <v>530</v>
      </c>
      <c r="H478" s="21" t="s">
        <v>654</v>
      </c>
      <c r="I478" s="21" t="s">
        <v>1106</v>
      </c>
      <c r="J478" s="21" t="s">
        <v>655</v>
      </c>
      <c r="K478" s="21" t="s">
        <v>656</v>
      </c>
      <c r="L478" s="21"/>
      <c r="M478" s="21"/>
      <c r="N478" s="77"/>
      <c r="O478" s="80"/>
      <c r="P478" s="80"/>
      <c r="Q478" s="76">
        <f t="shared" si="49"/>
        <v>0</v>
      </c>
      <c r="R478" s="76">
        <f t="shared" si="50"/>
        <v>0</v>
      </c>
      <c r="S478" s="76">
        <f t="shared" si="51"/>
        <v>0</v>
      </c>
      <c r="T478" s="30">
        <v>0</v>
      </c>
    </row>
    <row r="479" spans="1:20" ht="18.75" x14ac:dyDescent="0.25">
      <c r="A479" s="21" t="s">
        <v>419</v>
      </c>
      <c r="B479" s="21" t="s">
        <v>18</v>
      </c>
      <c r="C479" s="21" t="s">
        <v>62</v>
      </c>
      <c r="D479" s="21" t="s">
        <v>528</v>
      </c>
      <c r="E479" s="21" t="s">
        <v>70</v>
      </c>
      <c r="F479" s="34" t="s">
        <v>529</v>
      </c>
      <c r="G479" s="21" t="s">
        <v>530</v>
      </c>
      <c r="H479" s="21" t="s">
        <v>657</v>
      </c>
      <c r="I479" s="21" t="s">
        <v>1107</v>
      </c>
      <c r="J479" s="21" t="s">
        <v>658</v>
      </c>
      <c r="K479" s="21" t="s">
        <v>659</v>
      </c>
      <c r="L479" s="21"/>
      <c r="M479" s="21"/>
      <c r="N479" s="77"/>
      <c r="O479" s="80"/>
      <c r="P479" s="80"/>
      <c r="Q479" s="76">
        <f t="shared" si="49"/>
        <v>0</v>
      </c>
      <c r="R479" s="76">
        <f t="shared" si="50"/>
        <v>0</v>
      </c>
      <c r="S479" s="76">
        <f t="shared" si="51"/>
        <v>0</v>
      </c>
      <c r="T479" s="30">
        <v>0</v>
      </c>
    </row>
    <row r="480" spans="1:20" ht="18.75" x14ac:dyDescent="0.25">
      <c r="A480" s="21" t="s">
        <v>419</v>
      </c>
      <c r="B480" s="21" t="s">
        <v>18</v>
      </c>
      <c r="C480" s="21" t="s">
        <v>62</v>
      </c>
      <c r="D480" s="21" t="s">
        <v>528</v>
      </c>
      <c r="E480" s="21" t="s">
        <v>70</v>
      </c>
      <c r="F480" s="34" t="s">
        <v>529</v>
      </c>
      <c r="G480" s="21" t="s">
        <v>530</v>
      </c>
      <c r="H480" s="21" t="s">
        <v>660</v>
      </c>
      <c r="I480" s="21" t="s">
        <v>1108</v>
      </c>
      <c r="J480" s="21" t="s">
        <v>661</v>
      </c>
      <c r="K480" s="21" t="s">
        <v>662</v>
      </c>
      <c r="L480" s="21"/>
      <c r="M480" s="21"/>
      <c r="N480" s="77"/>
      <c r="O480" s="80"/>
      <c r="P480" s="80"/>
      <c r="Q480" s="76">
        <f t="shared" si="49"/>
        <v>0</v>
      </c>
      <c r="R480" s="76">
        <f t="shared" si="50"/>
        <v>0</v>
      </c>
      <c r="S480" s="76">
        <f t="shared" si="51"/>
        <v>0</v>
      </c>
      <c r="T480" s="30">
        <v>0</v>
      </c>
    </row>
    <row r="481" spans="1:20" ht="18.75" x14ac:dyDescent="0.25">
      <c r="A481" s="21" t="s">
        <v>419</v>
      </c>
      <c r="B481" s="21" t="s">
        <v>18</v>
      </c>
      <c r="C481" s="21" t="s">
        <v>62</v>
      </c>
      <c r="D481" s="21" t="s">
        <v>528</v>
      </c>
      <c r="E481" s="21" t="s">
        <v>70</v>
      </c>
      <c r="F481" s="34" t="s">
        <v>529</v>
      </c>
      <c r="G481" s="21" t="s">
        <v>530</v>
      </c>
      <c r="H481" s="21" t="s">
        <v>663</v>
      </c>
      <c r="I481" s="21" t="s">
        <v>1109</v>
      </c>
      <c r="J481" s="21" t="s">
        <v>664</v>
      </c>
      <c r="K481" s="21" t="s">
        <v>665</v>
      </c>
      <c r="L481" s="21"/>
      <c r="M481" s="21"/>
      <c r="N481" s="77"/>
      <c r="O481" s="80"/>
      <c r="P481" s="80"/>
      <c r="Q481" s="76">
        <f t="shared" si="49"/>
        <v>0</v>
      </c>
      <c r="R481" s="76">
        <f t="shared" si="50"/>
        <v>0</v>
      </c>
      <c r="S481" s="76">
        <f t="shared" si="51"/>
        <v>0</v>
      </c>
      <c r="T481" s="30">
        <v>0</v>
      </c>
    </row>
    <row r="482" spans="1:20" ht="18.75" x14ac:dyDescent="0.25">
      <c r="A482" s="21" t="s">
        <v>419</v>
      </c>
      <c r="B482" s="21" t="s">
        <v>18</v>
      </c>
      <c r="C482" s="21" t="s">
        <v>62</v>
      </c>
      <c r="D482" s="21" t="s">
        <v>528</v>
      </c>
      <c r="E482" s="21" t="s">
        <v>70</v>
      </c>
      <c r="F482" s="34" t="s">
        <v>529</v>
      </c>
      <c r="G482" s="21" t="s">
        <v>530</v>
      </c>
      <c r="H482" s="21" t="s">
        <v>666</v>
      </c>
      <c r="I482" s="21" t="s">
        <v>1110</v>
      </c>
      <c r="J482" s="21" t="s">
        <v>667</v>
      </c>
      <c r="K482" s="21" t="s">
        <v>668</v>
      </c>
      <c r="L482" s="21"/>
      <c r="M482" s="21"/>
      <c r="N482" s="77"/>
      <c r="O482" s="80"/>
      <c r="P482" s="80"/>
      <c r="Q482" s="76">
        <f t="shared" si="49"/>
        <v>0</v>
      </c>
      <c r="R482" s="76">
        <f t="shared" si="50"/>
        <v>0</v>
      </c>
      <c r="S482" s="76">
        <f t="shared" si="51"/>
        <v>0</v>
      </c>
      <c r="T482" s="30">
        <v>0</v>
      </c>
    </row>
    <row r="483" spans="1:20" ht="18.75" x14ac:dyDescent="0.25">
      <c r="A483" s="21" t="s">
        <v>419</v>
      </c>
      <c r="B483" s="21" t="s">
        <v>18</v>
      </c>
      <c r="C483" s="21" t="s">
        <v>62</v>
      </c>
      <c r="D483" s="21" t="s">
        <v>528</v>
      </c>
      <c r="E483" s="21" t="s">
        <v>70</v>
      </c>
      <c r="F483" s="34" t="s">
        <v>529</v>
      </c>
      <c r="G483" s="21" t="s">
        <v>530</v>
      </c>
      <c r="H483" s="21" t="s">
        <v>669</v>
      </c>
      <c r="I483" s="21" t="s">
        <v>1111</v>
      </c>
      <c r="J483" s="21" t="s">
        <v>670</v>
      </c>
      <c r="K483" s="21" t="s">
        <v>671</v>
      </c>
      <c r="L483" s="21"/>
      <c r="M483" s="21"/>
      <c r="N483" s="77"/>
      <c r="O483" s="80"/>
      <c r="P483" s="80"/>
      <c r="Q483" s="76">
        <f t="shared" ref="Q483:Q516" si="52">IF($H483=0,0,COUNTIF(I:I,I483)-1)</f>
        <v>0</v>
      </c>
      <c r="R483" s="76">
        <f t="shared" ref="R483:R516" si="53">IF($H483=0,0,COUNTIF(J:J,J483)-1)</f>
        <v>0</v>
      </c>
      <c r="S483" s="76">
        <f t="shared" ref="S483:S516" si="54">IF($H483=0,0,COUNTIF(K:K,K483)-1)</f>
        <v>0</v>
      </c>
      <c r="T483" s="30">
        <v>0</v>
      </c>
    </row>
    <row r="484" spans="1:20" ht="18.75" x14ac:dyDescent="0.25">
      <c r="A484" s="21" t="s">
        <v>419</v>
      </c>
      <c r="B484" s="21" t="s">
        <v>18</v>
      </c>
      <c r="C484" s="21" t="s">
        <v>62</v>
      </c>
      <c r="D484" s="21" t="s">
        <v>528</v>
      </c>
      <c r="E484" s="21" t="s">
        <v>70</v>
      </c>
      <c r="F484" s="34" t="s">
        <v>529</v>
      </c>
      <c r="G484" s="21" t="s">
        <v>530</v>
      </c>
      <c r="H484" s="21" t="s">
        <v>672</v>
      </c>
      <c r="I484" s="21" t="s">
        <v>1112</v>
      </c>
      <c r="J484" s="21" t="s">
        <v>673</v>
      </c>
      <c r="K484" s="21" t="s">
        <v>674</v>
      </c>
      <c r="L484" s="21"/>
      <c r="M484" s="21"/>
      <c r="N484" s="77"/>
      <c r="O484" s="80"/>
      <c r="P484" s="80"/>
      <c r="Q484" s="76">
        <f t="shared" si="52"/>
        <v>0</v>
      </c>
      <c r="R484" s="76">
        <f t="shared" si="53"/>
        <v>0</v>
      </c>
      <c r="S484" s="76">
        <f t="shared" si="54"/>
        <v>0</v>
      </c>
      <c r="T484" s="30">
        <v>0</v>
      </c>
    </row>
    <row r="485" spans="1:20" ht="18.75" x14ac:dyDescent="0.25">
      <c r="A485" s="21" t="s">
        <v>419</v>
      </c>
      <c r="B485" s="21" t="s">
        <v>18</v>
      </c>
      <c r="C485" s="21" t="s">
        <v>62</v>
      </c>
      <c r="D485" s="21" t="s">
        <v>528</v>
      </c>
      <c r="E485" s="21" t="s">
        <v>70</v>
      </c>
      <c r="F485" s="34" t="s">
        <v>529</v>
      </c>
      <c r="G485" s="21" t="s">
        <v>530</v>
      </c>
      <c r="H485" s="21" t="s">
        <v>46</v>
      </c>
      <c r="I485" s="21" t="s">
        <v>1113</v>
      </c>
      <c r="J485" s="21" t="s">
        <v>675</v>
      </c>
      <c r="K485" s="21" t="s">
        <v>676</v>
      </c>
      <c r="L485" s="21"/>
      <c r="M485" s="21"/>
      <c r="N485" s="77"/>
      <c r="O485" s="80"/>
      <c r="P485" s="80"/>
      <c r="Q485" s="76">
        <f t="shared" si="52"/>
        <v>0</v>
      </c>
      <c r="R485" s="76">
        <f t="shared" si="53"/>
        <v>0</v>
      </c>
      <c r="S485" s="76">
        <f t="shared" si="54"/>
        <v>0</v>
      </c>
      <c r="T485" s="30">
        <v>0</v>
      </c>
    </row>
    <row r="486" spans="1:20" ht="18.75" x14ac:dyDescent="0.25">
      <c r="A486" s="21" t="s">
        <v>419</v>
      </c>
      <c r="B486" s="21" t="s">
        <v>18</v>
      </c>
      <c r="C486" s="21" t="s">
        <v>62</v>
      </c>
      <c r="D486" s="21" t="s">
        <v>528</v>
      </c>
      <c r="E486" s="21" t="s">
        <v>70</v>
      </c>
      <c r="F486" s="34" t="s">
        <v>529</v>
      </c>
      <c r="G486" s="21" t="s">
        <v>530</v>
      </c>
      <c r="H486" s="21" t="s">
        <v>677</v>
      </c>
      <c r="I486" s="21" t="s">
        <v>1114</v>
      </c>
      <c r="J486" s="21" t="s">
        <v>678</v>
      </c>
      <c r="K486" s="21" t="s">
        <v>679</v>
      </c>
      <c r="L486" s="21"/>
      <c r="M486" s="21"/>
      <c r="N486" s="77"/>
      <c r="O486" s="80"/>
      <c r="P486" s="80"/>
      <c r="Q486" s="76">
        <f t="shared" si="52"/>
        <v>0</v>
      </c>
      <c r="R486" s="76">
        <f t="shared" si="53"/>
        <v>0</v>
      </c>
      <c r="S486" s="76">
        <f t="shared" si="54"/>
        <v>0</v>
      </c>
      <c r="T486" s="30">
        <v>0</v>
      </c>
    </row>
    <row r="487" spans="1:20" ht="18.75" x14ac:dyDescent="0.25">
      <c r="A487" s="21" t="s">
        <v>419</v>
      </c>
      <c r="B487" s="21" t="s">
        <v>18</v>
      </c>
      <c r="C487" s="21" t="s">
        <v>62</v>
      </c>
      <c r="D487" s="21" t="s">
        <v>528</v>
      </c>
      <c r="E487" s="21" t="s">
        <v>70</v>
      </c>
      <c r="F487" s="34" t="s">
        <v>529</v>
      </c>
      <c r="G487" s="21" t="s">
        <v>530</v>
      </c>
      <c r="H487" s="21" t="s">
        <v>680</v>
      </c>
      <c r="I487" s="21" t="s">
        <v>1115</v>
      </c>
      <c r="J487" s="21" t="s">
        <v>681</v>
      </c>
      <c r="K487" s="21" t="s">
        <v>682</v>
      </c>
      <c r="L487" s="21"/>
      <c r="M487" s="21"/>
      <c r="N487" s="77"/>
      <c r="O487" s="80"/>
      <c r="P487" s="80"/>
      <c r="Q487" s="76">
        <f t="shared" si="52"/>
        <v>0</v>
      </c>
      <c r="R487" s="76">
        <f t="shared" si="53"/>
        <v>0</v>
      </c>
      <c r="S487" s="76">
        <f t="shared" si="54"/>
        <v>0</v>
      </c>
      <c r="T487" s="30" t="s">
        <v>1230</v>
      </c>
    </row>
    <row r="488" spans="1:20" ht="18.75" x14ac:dyDescent="0.25">
      <c r="A488" s="21" t="s">
        <v>419</v>
      </c>
      <c r="B488" s="21" t="s">
        <v>18</v>
      </c>
      <c r="C488" s="21" t="s">
        <v>62</v>
      </c>
      <c r="D488" s="21" t="s">
        <v>528</v>
      </c>
      <c r="E488" s="21" t="s">
        <v>70</v>
      </c>
      <c r="F488" s="34" t="s">
        <v>529</v>
      </c>
      <c r="G488" s="21" t="s">
        <v>530</v>
      </c>
      <c r="H488" s="21" t="s">
        <v>683</v>
      </c>
      <c r="I488" s="21" t="s">
        <v>1116</v>
      </c>
      <c r="J488" s="21" t="s">
        <v>684</v>
      </c>
      <c r="K488" s="21" t="s">
        <v>685</v>
      </c>
      <c r="L488" s="21"/>
      <c r="M488" s="21"/>
      <c r="N488" s="77"/>
      <c r="O488" s="80"/>
      <c r="P488" s="80"/>
      <c r="Q488" s="76">
        <f t="shared" si="52"/>
        <v>0</v>
      </c>
      <c r="R488" s="76">
        <f t="shared" si="53"/>
        <v>0</v>
      </c>
      <c r="S488" s="76">
        <f t="shared" si="54"/>
        <v>0</v>
      </c>
      <c r="T488" s="30">
        <v>0</v>
      </c>
    </row>
    <row r="489" spans="1:20" ht="18.75" x14ac:dyDescent="0.25">
      <c r="A489" s="21" t="s">
        <v>419</v>
      </c>
      <c r="B489" s="21" t="s">
        <v>18</v>
      </c>
      <c r="C489" s="21" t="s">
        <v>62</v>
      </c>
      <c r="D489" s="21" t="s">
        <v>528</v>
      </c>
      <c r="E489" s="21" t="s">
        <v>70</v>
      </c>
      <c r="F489" s="34" t="s">
        <v>529</v>
      </c>
      <c r="G489" s="21" t="s">
        <v>530</v>
      </c>
      <c r="H489" s="21" t="s">
        <v>686</v>
      </c>
      <c r="I489" s="21" t="s">
        <v>1117</v>
      </c>
      <c r="J489" s="21" t="s">
        <v>687</v>
      </c>
      <c r="K489" s="21" t="s">
        <v>688</v>
      </c>
      <c r="L489" s="21"/>
      <c r="M489" s="21"/>
      <c r="N489" s="77"/>
      <c r="O489" s="80"/>
      <c r="P489" s="80"/>
      <c r="Q489" s="76">
        <f t="shared" si="52"/>
        <v>0</v>
      </c>
      <c r="R489" s="76">
        <f t="shared" si="53"/>
        <v>0</v>
      </c>
      <c r="S489" s="76">
        <f t="shared" si="54"/>
        <v>0</v>
      </c>
      <c r="T489" s="30">
        <v>0</v>
      </c>
    </row>
    <row r="490" spans="1:20" ht="18.75" x14ac:dyDescent="0.25">
      <c r="A490" s="21" t="s">
        <v>419</v>
      </c>
      <c r="B490" s="21" t="s">
        <v>18</v>
      </c>
      <c r="C490" s="21" t="s">
        <v>62</v>
      </c>
      <c r="D490" s="21" t="s">
        <v>528</v>
      </c>
      <c r="E490" s="21" t="s">
        <v>70</v>
      </c>
      <c r="F490" s="34" t="s">
        <v>529</v>
      </c>
      <c r="G490" s="21" t="s">
        <v>530</v>
      </c>
      <c r="H490" s="21" t="s">
        <v>689</v>
      </c>
      <c r="I490" s="21" t="s">
        <v>1118</v>
      </c>
      <c r="J490" s="21" t="s">
        <v>690</v>
      </c>
      <c r="K490" s="21" t="s">
        <v>691</v>
      </c>
      <c r="L490" s="21"/>
      <c r="M490" s="21"/>
      <c r="N490" s="77"/>
      <c r="O490" s="80"/>
      <c r="P490" s="80"/>
      <c r="Q490" s="76">
        <f t="shared" si="52"/>
        <v>0</v>
      </c>
      <c r="R490" s="76">
        <f t="shared" si="53"/>
        <v>0</v>
      </c>
      <c r="S490" s="76">
        <f t="shared" si="54"/>
        <v>0</v>
      </c>
      <c r="T490" s="30">
        <v>0</v>
      </c>
    </row>
    <row r="491" spans="1:20" ht="18.75" x14ac:dyDescent="0.25">
      <c r="A491" s="21" t="s">
        <v>419</v>
      </c>
      <c r="B491" s="21" t="s">
        <v>18</v>
      </c>
      <c r="C491" s="21" t="s">
        <v>62</v>
      </c>
      <c r="D491" s="21" t="s">
        <v>528</v>
      </c>
      <c r="E491" s="21" t="s">
        <v>70</v>
      </c>
      <c r="F491" s="34" t="s">
        <v>529</v>
      </c>
      <c r="G491" s="21" t="s">
        <v>530</v>
      </c>
      <c r="H491" s="21" t="s">
        <v>692</v>
      </c>
      <c r="I491" s="21" t="s">
        <v>1119</v>
      </c>
      <c r="J491" s="21" t="s">
        <v>693</v>
      </c>
      <c r="K491" s="21" t="s">
        <v>694</v>
      </c>
      <c r="L491" s="21"/>
      <c r="M491" s="21"/>
      <c r="N491" s="77"/>
      <c r="O491" s="80"/>
      <c r="P491" s="80"/>
      <c r="Q491" s="76">
        <f t="shared" si="52"/>
        <v>0</v>
      </c>
      <c r="R491" s="76">
        <f t="shared" si="53"/>
        <v>0</v>
      </c>
      <c r="S491" s="76">
        <f t="shared" si="54"/>
        <v>0</v>
      </c>
      <c r="T491" s="30">
        <v>0</v>
      </c>
    </row>
    <row r="492" spans="1:20" ht="18.75" x14ac:dyDescent="0.25">
      <c r="A492" s="21" t="s">
        <v>419</v>
      </c>
      <c r="B492" s="21" t="s">
        <v>18</v>
      </c>
      <c r="C492" s="21" t="s">
        <v>62</v>
      </c>
      <c r="D492" s="21" t="s">
        <v>528</v>
      </c>
      <c r="E492" s="21" t="s">
        <v>70</v>
      </c>
      <c r="F492" s="34" t="s">
        <v>529</v>
      </c>
      <c r="G492" s="21" t="s">
        <v>530</v>
      </c>
      <c r="H492" s="21" t="s">
        <v>695</v>
      </c>
      <c r="I492" s="21" t="s">
        <v>1120</v>
      </c>
      <c r="J492" s="21" t="s">
        <v>696</v>
      </c>
      <c r="K492" s="21" t="s">
        <v>697</v>
      </c>
      <c r="L492" s="21"/>
      <c r="M492" s="21"/>
      <c r="N492" s="77"/>
      <c r="O492" s="80"/>
      <c r="P492" s="80"/>
      <c r="Q492" s="76">
        <f t="shared" si="52"/>
        <v>0</v>
      </c>
      <c r="R492" s="76">
        <f t="shared" si="53"/>
        <v>0</v>
      </c>
      <c r="S492" s="76">
        <f t="shared" si="54"/>
        <v>0</v>
      </c>
      <c r="T492" s="30">
        <v>0</v>
      </c>
    </row>
    <row r="493" spans="1:20" ht="18.75" x14ac:dyDescent="0.25">
      <c r="A493" s="21" t="s">
        <v>419</v>
      </c>
      <c r="B493" s="21" t="s">
        <v>18</v>
      </c>
      <c r="C493" s="21" t="s">
        <v>62</v>
      </c>
      <c r="D493" s="21" t="s">
        <v>528</v>
      </c>
      <c r="E493" s="21" t="s">
        <v>70</v>
      </c>
      <c r="F493" s="34" t="s">
        <v>529</v>
      </c>
      <c r="G493" s="21" t="s">
        <v>530</v>
      </c>
      <c r="H493" s="21" t="s">
        <v>698</v>
      </c>
      <c r="I493" s="21" t="s">
        <v>1121</v>
      </c>
      <c r="J493" s="21" t="s">
        <v>699</v>
      </c>
      <c r="K493" s="21" t="s">
        <v>700</v>
      </c>
      <c r="L493" s="21"/>
      <c r="M493" s="21"/>
      <c r="N493" s="77"/>
      <c r="O493" s="80"/>
      <c r="P493" s="80"/>
      <c r="Q493" s="76">
        <f t="shared" si="52"/>
        <v>0</v>
      </c>
      <c r="R493" s="76">
        <f t="shared" si="53"/>
        <v>0</v>
      </c>
      <c r="S493" s="76">
        <f t="shared" si="54"/>
        <v>0</v>
      </c>
      <c r="T493" s="30">
        <v>0</v>
      </c>
    </row>
    <row r="494" spans="1:20" ht="18.75" x14ac:dyDescent="0.25">
      <c r="A494" s="21" t="s">
        <v>419</v>
      </c>
      <c r="B494" s="21" t="s">
        <v>18</v>
      </c>
      <c r="C494" s="21" t="s">
        <v>62</v>
      </c>
      <c r="D494" s="21" t="s">
        <v>528</v>
      </c>
      <c r="E494" s="21" t="s">
        <v>70</v>
      </c>
      <c r="F494" s="34" t="s">
        <v>529</v>
      </c>
      <c r="G494" s="21" t="s">
        <v>530</v>
      </c>
      <c r="H494" s="21" t="s">
        <v>701</v>
      </c>
      <c r="I494" s="21" t="s">
        <v>1122</v>
      </c>
      <c r="J494" s="21" t="s">
        <v>702</v>
      </c>
      <c r="K494" s="21" t="s">
        <v>703</v>
      </c>
      <c r="L494" s="21"/>
      <c r="M494" s="21"/>
      <c r="N494" s="77"/>
      <c r="O494" s="80"/>
      <c r="P494" s="80"/>
      <c r="Q494" s="76">
        <f t="shared" si="52"/>
        <v>0</v>
      </c>
      <c r="R494" s="76">
        <f t="shared" si="53"/>
        <v>0</v>
      </c>
      <c r="S494" s="76">
        <f t="shared" si="54"/>
        <v>0</v>
      </c>
      <c r="T494" s="30">
        <v>0</v>
      </c>
    </row>
    <row r="495" spans="1:20" ht="18.75" x14ac:dyDescent="0.25">
      <c r="A495" s="21" t="s">
        <v>419</v>
      </c>
      <c r="B495" s="21" t="s">
        <v>18</v>
      </c>
      <c r="C495" s="21" t="s">
        <v>62</v>
      </c>
      <c r="D495" s="21" t="s">
        <v>528</v>
      </c>
      <c r="E495" s="21" t="s">
        <v>70</v>
      </c>
      <c r="F495" s="34" t="s">
        <v>529</v>
      </c>
      <c r="G495" s="21" t="s">
        <v>530</v>
      </c>
      <c r="H495" s="21" t="s">
        <v>704</v>
      </c>
      <c r="I495" s="21" t="s">
        <v>1123</v>
      </c>
      <c r="J495" s="21" t="s">
        <v>705</v>
      </c>
      <c r="K495" s="21" t="s">
        <v>706</v>
      </c>
      <c r="L495" s="21"/>
      <c r="M495" s="21"/>
      <c r="N495" s="77"/>
      <c r="O495" s="80"/>
      <c r="P495" s="80"/>
      <c r="Q495" s="76">
        <f t="shared" si="52"/>
        <v>0</v>
      </c>
      <c r="R495" s="76">
        <f t="shared" si="53"/>
        <v>0</v>
      </c>
      <c r="S495" s="76">
        <f t="shared" si="54"/>
        <v>0</v>
      </c>
      <c r="T495" s="30">
        <v>0</v>
      </c>
    </row>
    <row r="496" spans="1:20" ht="18.75" x14ac:dyDescent="0.25">
      <c r="A496" s="21" t="s">
        <v>419</v>
      </c>
      <c r="B496" s="21" t="s">
        <v>18</v>
      </c>
      <c r="C496" s="21" t="s">
        <v>62</v>
      </c>
      <c r="D496" s="21" t="s">
        <v>528</v>
      </c>
      <c r="E496" s="21" t="s">
        <v>70</v>
      </c>
      <c r="F496" s="34" t="s">
        <v>529</v>
      </c>
      <c r="G496" s="21" t="s">
        <v>530</v>
      </c>
      <c r="H496" s="21" t="s">
        <v>707</v>
      </c>
      <c r="I496" s="21" t="s">
        <v>1124</v>
      </c>
      <c r="J496" s="21" t="s">
        <v>708</v>
      </c>
      <c r="K496" s="21" t="s">
        <v>709</v>
      </c>
      <c r="L496" s="21"/>
      <c r="M496" s="21"/>
      <c r="N496" s="77"/>
      <c r="O496" s="80"/>
      <c r="P496" s="80"/>
      <c r="Q496" s="76">
        <f t="shared" si="52"/>
        <v>0</v>
      </c>
      <c r="R496" s="76">
        <f t="shared" si="53"/>
        <v>0</v>
      </c>
      <c r="S496" s="76">
        <f t="shared" si="54"/>
        <v>0</v>
      </c>
      <c r="T496" s="30">
        <v>0</v>
      </c>
    </row>
    <row r="497" spans="1:20" ht="18.75" x14ac:dyDescent="0.25">
      <c r="A497" s="21" t="s">
        <v>419</v>
      </c>
      <c r="B497" s="21" t="s">
        <v>18</v>
      </c>
      <c r="C497" s="21" t="s">
        <v>62</v>
      </c>
      <c r="D497" s="21" t="s">
        <v>528</v>
      </c>
      <c r="E497" s="21" t="s">
        <v>70</v>
      </c>
      <c r="F497" s="34" t="s">
        <v>529</v>
      </c>
      <c r="G497" s="21" t="s">
        <v>530</v>
      </c>
      <c r="H497" s="21" t="s">
        <v>710</v>
      </c>
      <c r="I497" s="21" t="s">
        <v>1125</v>
      </c>
      <c r="J497" s="21" t="s">
        <v>711</v>
      </c>
      <c r="K497" s="21" t="s">
        <v>712</v>
      </c>
      <c r="L497" s="21"/>
      <c r="M497" s="21"/>
      <c r="N497" s="77"/>
      <c r="O497" s="80"/>
      <c r="P497" s="80"/>
      <c r="Q497" s="76">
        <f t="shared" si="52"/>
        <v>0</v>
      </c>
      <c r="R497" s="76">
        <f t="shared" si="53"/>
        <v>0</v>
      </c>
      <c r="S497" s="76">
        <f t="shared" si="54"/>
        <v>0</v>
      </c>
      <c r="T497" s="30">
        <v>0</v>
      </c>
    </row>
    <row r="498" spans="1:20" ht="18.75" x14ac:dyDescent="0.25">
      <c r="A498" s="21" t="s">
        <v>419</v>
      </c>
      <c r="B498" s="21" t="s">
        <v>18</v>
      </c>
      <c r="C498" s="21" t="s">
        <v>62</v>
      </c>
      <c r="D498" s="21" t="s">
        <v>528</v>
      </c>
      <c r="E498" s="21" t="s">
        <v>70</v>
      </c>
      <c r="F498" s="34" t="s">
        <v>529</v>
      </c>
      <c r="G498" s="21" t="s">
        <v>530</v>
      </c>
      <c r="H498" s="21" t="s">
        <v>713</v>
      </c>
      <c r="I498" s="21" t="s">
        <v>1126</v>
      </c>
      <c r="J498" s="21" t="s">
        <v>714</v>
      </c>
      <c r="K498" s="21" t="s">
        <v>715</v>
      </c>
      <c r="L498" s="21"/>
      <c r="M498" s="21"/>
      <c r="N498" s="77"/>
      <c r="O498" s="80"/>
      <c r="P498" s="80"/>
      <c r="Q498" s="76">
        <f t="shared" si="52"/>
        <v>0</v>
      </c>
      <c r="R498" s="76">
        <f t="shared" si="53"/>
        <v>0</v>
      </c>
      <c r="S498" s="76">
        <f t="shared" si="54"/>
        <v>0</v>
      </c>
      <c r="T498" s="30">
        <v>0</v>
      </c>
    </row>
    <row r="499" spans="1:20" ht="18.75" x14ac:dyDescent="0.25">
      <c r="A499" s="21" t="s">
        <v>419</v>
      </c>
      <c r="B499" s="21" t="s">
        <v>18</v>
      </c>
      <c r="C499" s="21" t="s">
        <v>62</v>
      </c>
      <c r="D499" s="21" t="s">
        <v>528</v>
      </c>
      <c r="E499" s="21" t="s">
        <v>70</v>
      </c>
      <c r="F499" s="34" t="s">
        <v>529</v>
      </c>
      <c r="G499" s="21" t="s">
        <v>530</v>
      </c>
      <c r="H499" s="21" t="s">
        <v>716</v>
      </c>
      <c r="I499" s="21" t="s">
        <v>1127</v>
      </c>
      <c r="J499" s="21" t="s">
        <v>717</v>
      </c>
      <c r="K499" s="21" t="s">
        <v>718</v>
      </c>
      <c r="L499" s="21"/>
      <c r="M499" s="21"/>
      <c r="N499" s="77"/>
      <c r="O499" s="80"/>
      <c r="P499" s="80"/>
      <c r="Q499" s="76">
        <f t="shared" si="52"/>
        <v>0</v>
      </c>
      <c r="R499" s="76">
        <f t="shared" si="53"/>
        <v>0</v>
      </c>
      <c r="S499" s="76">
        <f t="shared" si="54"/>
        <v>0</v>
      </c>
      <c r="T499" s="30">
        <v>0</v>
      </c>
    </row>
    <row r="500" spans="1:20" ht="18.75" x14ac:dyDescent="0.25">
      <c r="A500" s="21" t="s">
        <v>419</v>
      </c>
      <c r="B500" s="21" t="s">
        <v>18</v>
      </c>
      <c r="C500" s="21" t="s">
        <v>62</v>
      </c>
      <c r="D500" s="21" t="s">
        <v>528</v>
      </c>
      <c r="E500" s="21" t="s">
        <v>70</v>
      </c>
      <c r="F500" s="34" t="s">
        <v>529</v>
      </c>
      <c r="G500" s="21" t="s">
        <v>530</v>
      </c>
      <c r="H500" s="21" t="s">
        <v>719</v>
      </c>
      <c r="I500" s="21" t="s">
        <v>1128</v>
      </c>
      <c r="J500" s="21" t="s">
        <v>720</v>
      </c>
      <c r="K500" s="21" t="s">
        <v>721</v>
      </c>
      <c r="L500" s="21"/>
      <c r="M500" s="21"/>
      <c r="N500" s="77"/>
      <c r="O500" s="80"/>
      <c r="P500" s="80"/>
      <c r="Q500" s="76">
        <f t="shared" si="52"/>
        <v>0</v>
      </c>
      <c r="R500" s="76">
        <f t="shared" si="53"/>
        <v>0</v>
      </c>
      <c r="S500" s="76">
        <f t="shared" si="54"/>
        <v>0</v>
      </c>
      <c r="T500" s="30">
        <v>0</v>
      </c>
    </row>
    <row r="501" spans="1:20" ht="18.75" x14ac:dyDescent="0.25">
      <c r="A501" s="21" t="s">
        <v>419</v>
      </c>
      <c r="B501" s="21" t="s">
        <v>18</v>
      </c>
      <c r="C501" s="21" t="s">
        <v>62</v>
      </c>
      <c r="D501" s="21" t="s">
        <v>528</v>
      </c>
      <c r="E501" s="21" t="s">
        <v>70</v>
      </c>
      <c r="F501" s="34" t="s">
        <v>529</v>
      </c>
      <c r="G501" s="21" t="s">
        <v>530</v>
      </c>
      <c r="H501" s="21" t="s">
        <v>1163</v>
      </c>
      <c r="I501" s="30" t="s">
        <v>1212</v>
      </c>
      <c r="J501" s="21" t="s">
        <v>1155</v>
      </c>
      <c r="K501" s="21" t="s">
        <v>1613</v>
      </c>
      <c r="L501" s="21"/>
      <c r="M501" s="21"/>
      <c r="N501" s="77"/>
      <c r="O501" s="80"/>
      <c r="P501" s="80"/>
      <c r="Q501" s="76">
        <f t="shared" si="52"/>
        <v>0</v>
      </c>
      <c r="R501" s="76">
        <f t="shared" si="53"/>
        <v>0</v>
      </c>
      <c r="S501" s="76">
        <f t="shared" si="54"/>
        <v>0</v>
      </c>
      <c r="T501" s="30" t="s">
        <v>1230</v>
      </c>
    </row>
    <row r="502" spans="1:20" ht="18.75" x14ac:dyDescent="0.25">
      <c r="A502" s="21" t="s">
        <v>419</v>
      </c>
      <c r="B502" s="21" t="s">
        <v>18</v>
      </c>
      <c r="C502" s="21" t="s">
        <v>62</v>
      </c>
      <c r="D502" s="21" t="s">
        <v>528</v>
      </c>
      <c r="E502" s="21" t="s">
        <v>70</v>
      </c>
      <c r="F502" s="34" t="s">
        <v>529</v>
      </c>
      <c r="G502" s="21" t="s">
        <v>530</v>
      </c>
      <c r="H502" s="21" t="s">
        <v>1164</v>
      </c>
      <c r="I502" s="30" t="s">
        <v>1213</v>
      </c>
      <c r="J502" s="21" t="s">
        <v>1156</v>
      </c>
      <c r="K502" s="21" t="s">
        <v>1614</v>
      </c>
      <c r="L502" s="21"/>
      <c r="M502" s="21"/>
      <c r="N502" s="77"/>
      <c r="O502" s="80"/>
      <c r="P502" s="80"/>
      <c r="Q502" s="76">
        <f t="shared" si="52"/>
        <v>0</v>
      </c>
      <c r="R502" s="76">
        <f t="shared" si="53"/>
        <v>0</v>
      </c>
      <c r="S502" s="76">
        <f t="shared" si="54"/>
        <v>0</v>
      </c>
      <c r="T502" s="30" t="s">
        <v>1230</v>
      </c>
    </row>
    <row r="503" spans="1:20" ht="18.75" x14ac:dyDescent="0.25">
      <c r="A503" s="21" t="s">
        <v>419</v>
      </c>
      <c r="B503" s="21" t="s">
        <v>18</v>
      </c>
      <c r="C503" s="21" t="s">
        <v>62</v>
      </c>
      <c r="D503" s="21" t="s">
        <v>528</v>
      </c>
      <c r="E503" s="21" t="s">
        <v>70</v>
      </c>
      <c r="F503" s="34" t="s">
        <v>529</v>
      </c>
      <c r="G503" s="21" t="s">
        <v>530</v>
      </c>
      <c r="H503" s="21" t="s">
        <v>1165</v>
      </c>
      <c r="I503" s="30" t="s">
        <v>1214</v>
      </c>
      <c r="J503" s="21" t="s">
        <v>1157</v>
      </c>
      <c r="K503" s="21" t="s">
        <v>1615</v>
      </c>
      <c r="L503" s="21"/>
      <c r="M503" s="21"/>
      <c r="N503" s="77"/>
      <c r="O503" s="80"/>
      <c r="P503" s="80"/>
      <c r="Q503" s="76">
        <f t="shared" si="52"/>
        <v>0</v>
      </c>
      <c r="R503" s="76">
        <f t="shared" si="53"/>
        <v>0</v>
      </c>
      <c r="S503" s="76">
        <f t="shared" si="54"/>
        <v>0</v>
      </c>
      <c r="T503" s="30" t="s">
        <v>1230</v>
      </c>
    </row>
    <row r="504" spans="1:20" ht="18.75" x14ac:dyDescent="0.25">
      <c r="A504" s="21" t="s">
        <v>419</v>
      </c>
      <c r="B504" s="21" t="s">
        <v>18</v>
      </c>
      <c r="C504" s="21" t="s">
        <v>62</v>
      </c>
      <c r="D504" s="21" t="s">
        <v>528</v>
      </c>
      <c r="E504" s="21" t="s">
        <v>70</v>
      </c>
      <c r="F504" s="34" t="s">
        <v>529</v>
      </c>
      <c r="G504" s="21" t="s">
        <v>530</v>
      </c>
      <c r="H504" s="21" t="s">
        <v>1166</v>
      </c>
      <c r="I504" s="30" t="s">
        <v>1215</v>
      </c>
      <c r="J504" s="21" t="s">
        <v>1158</v>
      </c>
      <c r="K504" s="21" t="s">
        <v>1631</v>
      </c>
      <c r="L504" s="21"/>
      <c r="M504" s="21"/>
      <c r="N504" s="77"/>
      <c r="O504" s="80"/>
      <c r="P504" s="80"/>
      <c r="Q504" s="76">
        <f t="shared" si="52"/>
        <v>0</v>
      </c>
      <c r="R504" s="76">
        <f t="shared" si="53"/>
        <v>0</v>
      </c>
      <c r="S504" s="76">
        <f t="shared" si="54"/>
        <v>0</v>
      </c>
      <c r="T504" s="30" t="s">
        <v>1230</v>
      </c>
    </row>
    <row r="505" spans="1:20" ht="18.75" x14ac:dyDescent="0.25">
      <c r="A505" s="21" t="s">
        <v>419</v>
      </c>
      <c r="B505" s="21" t="s">
        <v>18</v>
      </c>
      <c r="C505" s="21" t="s">
        <v>62</v>
      </c>
      <c r="D505" s="21" t="s">
        <v>528</v>
      </c>
      <c r="E505" s="21" t="s">
        <v>70</v>
      </c>
      <c r="F505" s="34" t="s">
        <v>529</v>
      </c>
      <c r="G505" s="21" t="s">
        <v>530</v>
      </c>
      <c r="H505" s="21" t="s">
        <v>315</v>
      </c>
      <c r="I505" s="30" t="s">
        <v>1216</v>
      </c>
      <c r="J505" s="21" t="s">
        <v>519</v>
      </c>
      <c r="K505" s="21" t="s">
        <v>1616</v>
      </c>
      <c r="L505" s="21"/>
      <c r="M505" s="21"/>
      <c r="N505" s="77"/>
      <c r="O505" s="80"/>
      <c r="P505" s="80"/>
      <c r="Q505" s="76">
        <f t="shared" si="52"/>
        <v>0</v>
      </c>
      <c r="R505" s="76">
        <f t="shared" si="53"/>
        <v>1</v>
      </c>
      <c r="S505" s="76">
        <f t="shared" si="54"/>
        <v>0</v>
      </c>
      <c r="T505" s="30">
        <v>0</v>
      </c>
    </row>
    <row r="506" spans="1:20" ht="18.75" x14ac:dyDescent="0.25">
      <c r="A506" s="21" t="s">
        <v>419</v>
      </c>
      <c r="B506" s="21" t="s">
        <v>18</v>
      </c>
      <c r="C506" s="21" t="s">
        <v>62</v>
      </c>
      <c r="D506" s="21" t="s">
        <v>528</v>
      </c>
      <c r="E506" s="21" t="s">
        <v>70</v>
      </c>
      <c r="F506" s="34" t="s">
        <v>529</v>
      </c>
      <c r="G506" s="21" t="s">
        <v>530</v>
      </c>
      <c r="H506" s="21" t="s">
        <v>1167</v>
      </c>
      <c r="I506" s="30" t="s">
        <v>1217</v>
      </c>
      <c r="J506" s="21" t="s">
        <v>1159</v>
      </c>
      <c r="K506" s="21" t="s">
        <v>1617</v>
      </c>
      <c r="L506" s="21"/>
      <c r="M506" s="21"/>
      <c r="N506" s="77"/>
      <c r="O506" s="80"/>
      <c r="P506" s="80"/>
      <c r="Q506" s="76">
        <f t="shared" si="52"/>
        <v>0</v>
      </c>
      <c r="R506" s="76">
        <f t="shared" si="53"/>
        <v>0</v>
      </c>
      <c r="S506" s="76">
        <f t="shared" si="54"/>
        <v>0</v>
      </c>
      <c r="T506" s="30" t="s">
        <v>1230</v>
      </c>
    </row>
    <row r="507" spans="1:20" ht="18.75" x14ac:dyDescent="0.25">
      <c r="A507" s="21" t="s">
        <v>419</v>
      </c>
      <c r="B507" s="21" t="s">
        <v>18</v>
      </c>
      <c r="C507" s="21" t="s">
        <v>62</v>
      </c>
      <c r="D507" s="21" t="s">
        <v>528</v>
      </c>
      <c r="E507" s="21" t="s">
        <v>70</v>
      </c>
      <c r="F507" s="34" t="s">
        <v>529</v>
      </c>
      <c r="G507" s="21" t="s">
        <v>530</v>
      </c>
      <c r="H507" s="21" t="s">
        <v>1475</v>
      </c>
      <c r="I507" s="30" t="str">
        <f t="shared" ref="I507:I516" si="55">_xlfn.CONCAT(A507," ",C507," ",E507,H507)</f>
        <v>22 05 00.1092</v>
      </c>
      <c r="J507" s="21" t="s">
        <v>1469</v>
      </c>
      <c r="K507" s="21" t="s">
        <v>1618</v>
      </c>
      <c r="L507" s="21"/>
      <c r="M507" s="21"/>
      <c r="N507" s="77"/>
      <c r="O507" s="80"/>
      <c r="P507" s="80"/>
      <c r="Q507" s="76">
        <f t="shared" si="52"/>
        <v>0</v>
      </c>
      <c r="R507" s="76">
        <f t="shared" si="53"/>
        <v>0</v>
      </c>
      <c r="S507" s="76">
        <f t="shared" si="54"/>
        <v>0</v>
      </c>
      <c r="T507" s="30"/>
    </row>
    <row r="508" spans="1:20" ht="18.75" x14ac:dyDescent="0.25">
      <c r="A508" s="21" t="s">
        <v>419</v>
      </c>
      <c r="B508" s="21" t="s">
        <v>18</v>
      </c>
      <c r="C508" s="21" t="s">
        <v>62</v>
      </c>
      <c r="D508" s="21" t="s">
        <v>528</v>
      </c>
      <c r="E508" s="21" t="s">
        <v>70</v>
      </c>
      <c r="F508" s="34" t="s">
        <v>529</v>
      </c>
      <c r="G508" s="21" t="s">
        <v>530</v>
      </c>
      <c r="H508" s="21" t="s">
        <v>1476</v>
      </c>
      <c r="I508" s="30" t="str">
        <f t="shared" si="55"/>
        <v>22 05 00.1093</v>
      </c>
      <c r="J508" s="21" t="s">
        <v>1470</v>
      </c>
      <c r="K508" s="21" t="s">
        <v>1619</v>
      </c>
      <c r="L508" s="21"/>
      <c r="M508" s="21"/>
      <c r="N508" s="77"/>
      <c r="O508" s="80"/>
      <c r="P508" s="80"/>
      <c r="Q508" s="76">
        <f t="shared" si="52"/>
        <v>0</v>
      </c>
      <c r="R508" s="76">
        <f t="shared" si="53"/>
        <v>0</v>
      </c>
      <c r="S508" s="76">
        <f t="shared" si="54"/>
        <v>0</v>
      </c>
      <c r="T508" s="30"/>
    </row>
    <row r="509" spans="1:20" ht="18.75" x14ac:dyDescent="0.25">
      <c r="A509" s="21" t="s">
        <v>419</v>
      </c>
      <c r="B509" s="21" t="s">
        <v>18</v>
      </c>
      <c r="C509" s="21" t="s">
        <v>62</v>
      </c>
      <c r="D509" s="21" t="s">
        <v>528</v>
      </c>
      <c r="E509" s="21" t="s">
        <v>70</v>
      </c>
      <c r="F509" s="34" t="s">
        <v>529</v>
      </c>
      <c r="G509" s="21" t="s">
        <v>530</v>
      </c>
      <c r="H509" s="21" t="s">
        <v>1477</v>
      </c>
      <c r="I509" s="30" t="str">
        <f t="shared" si="55"/>
        <v>22 05 00.1094</v>
      </c>
      <c r="J509" s="21" t="s">
        <v>1620</v>
      </c>
      <c r="K509" s="21" t="s">
        <v>1621</v>
      </c>
      <c r="L509" s="21"/>
      <c r="M509" s="21"/>
      <c r="N509" s="77"/>
      <c r="O509" s="80"/>
      <c r="P509" s="80"/>
      <c r="Q509" s="76">
        <f t="shared" si="52"/>
        <v>0</v>
      </c>
      <c r="R509" s="76">
        <f t="shared" si="53"/>
        <v>0</v>
      </c>
      <c r="S509" s="76">
        <f t="shared" si="54"/>
        <v>0</v>
      </c>
      <c r="T509" s="30"/>
    </row>
    <row r="510" spans="1:20" ht="18.75" x14ac:dyDescent="0.25">
      <c r="A510" s="21" t="s">
        <v>419</v>
      </c>
      <c r="B510" s="21" t="s">
        <v>18</v>
      </c>
      <c r="C510" s="21" t="s">
        <v>62</v>
      </c>
      <c r="D510" s="21" t="s">
        <v>528</v>
      </c>
      <c r="E510" s="21" t="s">
        <v>70</v>
      </c>
      <c r="F510" s="34" t="s">
        <v>529</v>
      </c>
      <c r="G510" s="21" t="s">
        <v>530</v>
      </c>
      <c r="H510" s="21" t="s">
        <v>1478</v>
      </c>
      <c r="I510" s="30" t="str">
        <f t="shared" si="55"/>
        <v>22 05 00.1095</v>
      </c>
      <c r="J510" s="21" t="s">
        <v>1622</v>
      </c>
      <c r="K510" s="21" t="s">
        <v>1623</v>
      </c>
      <c r="L510" s="21"/>
      <c r="M510" s="21"/>
      <c r="N510" s="77"/>
      <c r="O510" s="80"/>
      <c r="P510" s="80"/>
      <c r="Q510" s="76">
        <f t="shared" si="52"/>
        <v>0</v>
      </c>
      <c r="R510" s="76">
        <f t="shared" si="53"/>
        <v>0</v>
      </c>
      <c r="S510" s="76">
        <f t="shared" si="54"/>
        <v>0</v>
      </c>
      <c r="T510" s="30"/>
    </row>
    <row r="511" spans="1:20" ht="18.75" x14ac:dyDescent="0.25">
      <c r="A511" s="21" t="s">
        <v>419</v>
      </c>
      <c r="B511" s="21" t="s">
        <v>18</v>
      </c>
      <c r="C511" s="21" t="s">
        <v>62</v>
      </c>
      <c r="D511" s="21" t="s">
        <v>528</v>
      </c>
      <c r="E511" s="21" t="s">
        <v>70</v>
      </c>
      <c r="F511" s="34" t="s">
        <v>529</v>
      </c>
      <c r="G511" s="21" t="s">
        <v>530</v>
      </c>
      <c r="H511" s="21" t="s">
        <v>1479</v>
      </c>
      <c r="I511" s="30" t="str">
        <f t="shared" si="55"/>
        <v>22 05 00.1096</v>
      </c>
      <c r="J511" s="21" t="s">
        <v>1471</v>
      </c>
      <c r="K511" s="21" t="s">
        <v>1632</v>
      </c>
      <c r="L511" s="21"/>
      <c r="M511" s="21"/>
      <c r="N511" s="77"/>
      <c r="O511" s="80"/>
      <c r="P511" s="80"/>
      <c r="Q511" s="76">
        <f t="shared" si="52"/>
        <v>0</v>
      </c>
      <c r="R511" s="76">
        <f t="shared" si="53"/>
        <v>0</v>
      </c>
      <c r="S511" s="76">
        <f t="shared" si="54"/>
        <v>0</v>
      </c>
      <c r="T511" s="30"/>
    </row>
    <row r="512" spans="1:20" ht="18.75" x14ac:dyDescent="0.25">
      <c r="A512" s="21" t="s">
        <v>419</v>
      </c>
      <c r="B512" s="21" t="s">
        <v>18</v>
      </c>
      <c r="C512" s="21" t="s">
        <v>62</v>
      </c>
      <c r="D512" s="21" t="s">
        <v>528</v>
      </c>
      <c r="E512" s="21" t="s">
        <v>70</v>
      </c>
      <c r="F512" s="34" t="s">
        <v>529</v>
      </c>
      <c r="G512" s="21" t="s">
        <v>530</v>
      </c>
      <c r="H512" s="21" t="s">
        <v>1480</v>
      </c>
      <c r="I512" s="30" t="str">
        <f t="shared" si="55"/>
        <v>22 05 00.1097</v>
      </c>
      <c r="J512" s="21" t="s">
        <v>1472</v>
      </c>
      <c r="K512" s="21" t="s">
        <v>1633</v>
      </c>
      <c r="L512" s="21"/>
      <c r="M512" s="21"/>
      <c r="N512" s="77"/>
      <c r="O512" s="80"/>
      <c r="P512" s="80"/>
      <c r="Q512" s="76">
        <f t="shared" si="52"/>
        <v>0</v>
      </c>
      <c r="R512" s="76">
        <f t="shared" si="53"/>
        <v>0</v>
      </c>
      <c r="S512" s="76">
        <f t="shared" si="54"/>
        <v>0</v>
      </c>
      <c r="T512" s="30"/>
    </row>
    <row r="513" spans="1:20" ht="18.75" x14ac:dyDescent="0.25">
      <c r="A513" s="21" t="s">
        <v>419</v>
      </c>
      <c r="B513" s="21" t="s">
        <v>18</v>
      </c>
      <c r="C513" s="21" t="s">
        <v>62</v>
      </c>
      <c r="D513" s="21" t="s">
        <v>528</v>
      </c>
      <c r="E513" s="21" t="s">
        <v>70</v>
      </c>
      <c r="F513" s="34" t="s">
        <v>529</v>
      </c>
      <c r="G513" s="21" t="s">
        <v>530</v>
      </c>
      <c r="H513" s="21" t="s">
        <v>1481</v>
      </c>
      <c r="I513" s="30" t="str">
        <f t="shared" si="55"/>
        <v>22 05 00.1098</v>
      </c>
      <c r="J513" s="21" t="s">
        <v>1624</v>
      </c>
      <c r="K513" s="21" t="s">
        <v>1625</v>
      </c>
      <c r="L513" s="21"/>
      <c r="M513" s="21"/>
      <c r="N513" s="77"/>
      <c r="O513" s="80"/>
      <c r="P513" s="80"/>
      <c r="Q513" s="76">
        <f t="shared" si="52"/>
        <v>0</v>
      </c>
      <c r="R513" s="76">
        <f t="shared" si="53"/>
        <v>0</v>
      </c>
      <c r="S513" s="76">
        <f t="shared" si="54"/>
        <v>0</v>
      </c>
      <c r="T513" s="30"/>
    </row>
    <row r="514" spans="1:20" ht="18.75" x14ac:dyDescent="0.25">
      <c r="A514" s="21" t="s">
        <v>419</v>
      </c>
      <c r="B514" s="21" t="s">
        <v>18</v>
      </c>
      <c r="C514" s="21" t="s">
        <v>62</v>
      </c>
      <c r="D514" s="21" t="s">
        <v>528</v>
      </c>
      <c r="E514" s="21" t="s">
        <v>70</v>
      </c>
      <c r="F514" s="34" t="s">
        <v>529</v>
      </c>
      <c r="G514" s="21" t="s">
        <v>530</v>
      </c>
      <c r="H514" s="21" t="s">
        <v>1482</v>
      </c>
      <c r="I514" s="30" t="str">
        <f t="shared" si="55"/>
        <v>22 05 00.1099</v>
      </c>
      <c r="J514" s="21" t="s">
        <v>1626</v>
      </c>
      <c r="K514" s="21" t="s">
        <v>1627</v>
      </c>
      <c r="L514" s="21"/>
      <c r="M514" s="21"/>
      <c r="N514" s="77"/>
      <c r="O514" s="80"/>
      <c r="P514" s="80"/>
      <c r="Q514" s="76">
        <f t="shared" si="52"/>
        <v>0</v>
      </c>
      <c r="R514" s="76">
        <f t="shared" si="53"/>
        <v>0</v>
      </c>
      <c r="S514" s="76">
        <f t="shared" si="54"/>
        <v>0</v>
      </c>
      <c r="T514" s="30"/>
    </row>
    <row r="515" spans="1:20" ht="18.75" x14ac:dyDescent="0.25">
      <c r="A515" s="21" t="s">
        <v>419</v>
      </c>
      <c r="B515" s="21" t="s">
        <v>18</v>
      </c>
      <c r="C515" s="21" t="s">
        <v>62</v>
      </c>
      <c r="D515" s="21" t="s">
        <v>528</v>
      </c>
      <c r="E515" s="21" t="s">
        <v>70</v>
      </c>
      <c r="F515" s="34" t="s">
        <v>529</v>
      </c>
      <c r="G515" s="21" t="s">
        <v>530</v>
      </c>
      <c r="H515" s="21" t="s">
        <v>1483</v>
      </c>
      <c r="I515" s="30" t="str">
        <f t="shared" si="55"/>
        <v>22 05 00.10100</v>
      </c>
      <c r="J515" s="21" t="s">
        <v>1473</v>
      </c>
      <c r="K515" s="21" t="s">
        <v>1628</v>
      </c>
      <c r="L515" s="21"/>
      <c r="M515" s="21"/>
      <c r="N515" s="77"/>
      <c r="O515" s="80"/>
      <c r="P515" s="80"/>
      <c r="Q515" s="76">
        <f t="shared" si="52"/>
        <v>0</v>
      </c>
      <c r="R515" s="76">
        <f t="shared" si="53"/>
        <v>0</v>
      </c>
      <c r="S515" s="76">
        <f t="shared" si="54"/>
        <v>0</v>
      </c>
      <c r="T515" s="30"/>
    </row>
    <row r="516" spans="1:20" ht="18.75" x14ac:dyDescent="0.25">
      <c r="A516" s="21" t="s">
        <v>419</v>
      </c>
      <c r="B516" s="21" t="s">
        <v>18</v>
      </c>
      <c r="C516" s="21" t="s">
        <v>62</v>
      </c>
      <c r="D516" s="21" t="s">
        <v>528</v>
      </c>
      <c r="E516" s="21" t="s">
        <v>70</v>
      </c>
      <c r="F516" s="34" t="s">
        <v>529</v>
      </c>
      <c r="G516" s="21" t="s">
        <v>530</v>
      </c>
      <c r="H516" s="21" t="s">
        <v>1484</v>
      </c>
      <c r="I516" s="30" t="str">
        <f t="shared" si="55"/>
        <v>22 05 00.10101</v>
      </c>
      <c r="J516" s="21" t="s">
        <v>1474</v>
      </c>
      <c r="K516" s="21" t="s">
        <v>1629</v>
      </c>
      <c r="L516" s="21"/>
      <c r="M516" s="21"/>
      <c r="N516" s="77"/>
      <c r="O516" s="80"/>
      <c r="P516" s="80"/>
      <c r="Q516" s="76">
        <f t="shared" si="52"/>
        <v>0</v>
      </c>
      <c r="R516" s="76">
        <f t="shared" si="53"/>
        <v>0</v>
      </c>
      <c r="S516" s="76">
        <f t="shared" si="54"/>
        <v>0</v>
      </c>
      <c r="T516" s="30"/>
    </row>
  </sheetData>
  <sheetProtection algorithmName="SHA-512" hashValue="EVTPrbDo+GIPn/5RQJqv2DxzYnRAdIrUDNzNlilXaSLRj8X+G8HHUaPuTi4lQjs8+wyfKpAqjADrTB5cda4gyA==" saltValue="mrSqsZGynoxqzFmNnP/H8g==" spinCount="100000" sheet="1" objects="1" scenarios="1"/>
  <autoFilter ref="A2:ZY516" xr:uid="{5546D216-0EEA-4BF6-ACE5-4FFE568ADA70}"/>
  <sortState xmlns:xlrd2="http://schemas.microsoft.com/office/spreadsheetml/2017/richdata2" ref="A415:ZY506">
    <sortCondition ref="H415:H506"/>
  </sortState>
  <phoneticPr fontId="13" type="noConversion"/>
  <conditionalFormatting sqref="Q1:S1048576">
    <cfRule type="cellIs" dxfId="1" priority="1" operator="equal">
      <formula>1</formula>
    </cfRule>
  </conditionalFormatting>
  <conditionalFormatting sqref="V1:ZU1 U2">
    <cfRule type="expression" dxfId="0" priority="2">
      <formula>ROW()=CELL("ROW")</formula>
    </cfRule>
  </conditionalFormatting>
  <pageMargins left="0.7" right="0.7" top="0.75" bottom="0.75" header="0.3" footer="0.3"/>
  <ignoredErrors>
    <ignoredError sqref="M10:M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Codes</vt:lpstr>
      <vt:lpstr>DIV AND CAT LIST</vt:lpstr>
      <vt:lpstr>SUB-C MAT Deductions</vt:lpstr>
      <vt:lpstr>Codes!Print_Area</vt:lpstr>
      <vt:lpstr>Codes!Print_Titles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eng. farouk ahmed farouk</dc:creator>
  <cp:keywords/>
  <dc:description/>
  <cp:lastModifiedBy>eng. farouk ahmed farouk</cp:lastModifiedBy>
  <cp:revision/>
  <dcterms:created xsi:type="dcterms:W3CDTF">2026-02-04T07:10:10Z</dcterms:created>
  <dcterms:modified xsi:type="dcterms:W3CDTF">2026-03-26T09:02:55Z</dcterms:modified>
  <cp:category/>
  <cp:contentStatus/>
</cp:coreProperties>
</file>