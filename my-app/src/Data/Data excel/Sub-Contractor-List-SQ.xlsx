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lkbgroup-my.sharepoint.com/personal/alkb-group_alkbgroup_onmicrosoft_com/Documents/New volume (E)/Sama Qamra/الموقف التنفيذي/"/>
    </mc:Choice>
  </mc:AlternateContent>
  <xr:revisionPtr revIDLastSave="1693" documentId="11_F25DC773A252ABDACC1048CC09DD6F3A5BDE58F3" xr6:coauthVersionLast="47" xr6:coauthVersionMax="47" xr10:uidLastSave="{BF0C637F-378C-486D-895D-109AAF7F27D7}"/>
  <bookViews>
    <workbookView xWindow="38280" yWindow="-165" windowWidth="38640" windowHeight="21120" activeTab="1" xr2:uid="{00000000-000D-0000-FFFF-FFFF00000000}"/>
  </bookViews>
  <sheets>
    <sheet name="List" sheetId="2" r:id="rId1"/>
    <sheet name="Links" sheetId="3" r:id="rId2"/>
    <sheet name="Main and Sub Contractor Matrix" sheetId="4" r:id="rId3"/>
  </sheets>
  <definedNames>
    <definedName name="_xlnm._FilterDatabase" localSheetId="1" hidden="1">Links!$A$2:$R$132</definedName>
    <definedName name="_xlnm.Print_Area" localSheetId="1">Links!$A$1:$R$142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3" l="1"/>
  <c r="I142" i="3" l="1"/>
  <c r="H142" i="3"/>
  <c r="I141" i="3"/>
  <c r="H141" i="3"/>
  <c r="I140" i="3"/>
  <c r="H140" i="3"/>
  <c r="I139" i="3"/>
  <c r="H139" i="3"/>
  <c r="G142" i="3"/>
  <c r="G141" i="3"/>
  <c r="G140" i="3"/>
  <c r="G139" i="3"/>
  <c r="D139" i="2" s="1"/>
  <c r="G138" i="3"/>
  <c r="G137" i="3"/>
  <c r="G136" i="3"/>
  <c r="G135" i="3"/>
  <c r="G134" i="3"/>
  <c r="G133" i="3"/>
  <c r="B357" i="2"/>
  <c r="C357" i="2"/>
  <c r="D357" i="2"/>
  <c r="B358" i="2"/>
  <c r="C358" i="2"/>
  <c r="D358" i="2"/>
  <c r="B359" i="2"/>
  <c r="C359" i="2"/>
  <c r="D359" i="2"/>
  <c r="B360" i="2"/>
  <c r="C360" i="2"/>
  <c r="D360" i="2"/>
  <c r="B361" i="2"/>
  <c r="C361" i="2"/>
  <c r="D361" i="2"/>
  <c r="B362" i="2"/>
  <c r="C362" i="2"/>
  <c r="D362" i="2"/>
  <c r="B363" i="2"/>
  <c r="C363" i="2"/>
  <c r="D363" i="2"/>
  <c r="B364" i="2"/>
  <c r="C364" i="2"/>
  <c r="D364" i="2"/>
  <c r="B365" i="2"/>
  <c r="C365" i="2"/>
  <c r="D365" i="2"/>
  <c r="B366" i="2"/>
  <c r="C366" i="2"/>
  <c r="D366" i="2"/>
  <c r="B367" i="2"/>
  <c r="C367" i="2"/>
  <c r="D367" i="2"/>
  <c r="B368" i="2"/>
  <c r="C368" i="2"/>
  <c r="D368" i="2"/>
  <c r="B369" i="2"/>
  <c r="C369" i="2"/>
  <c r="D369" i="2"/>
  <c r="B370" i="2"/>
  <c r="C370" i="2"/>
  <c r="D370" i="2"/>
  <c r="B371" i="2"/>
  <c r="C371" i="2"/>
  <c r="D371" i="2"/>
  <c r="B372" i="2"/>
  <c r="C372" i="2"/>
  <c r="D372" i="2"/>
  <c r="B373" i="2"/>
  <c r="C373" i="2"/>
  <c r="D373" i="2"/>
  <c r="B374" i="2"/>
  <c r="C374" i="2"/>
  <c r="D374" i="2"/>
  <c r="B375" i="2"/>
  <c r="C375" i="2"/>
  <c r="D375" i="2"/>
  <c r="B376" i="2"/>
  <c r="C376" i="2"/>
  <c r="D376" i="2"/>
  <c r="B377" i="2"/>
  <c r="C377" i="2"/>
  <c r="D377" i="2"/>
  <c r="B378" i="2"/>
  <c r="C378" i="2"/>
  <c r="D378" i="2"/>
  <c r="B379" i="2"/>
  <c r="C379" i="2"/>
  <c r="D379" i="2"/>
  <c r="B380" i="2"/>
  <c r="C380" i="2"/>
  <c r="D380" i="2"/>
  <c r="B381" i="2"/>
  <c r="C381" i="2"/>
  <c r="D381" i="2"/>
  <c r="B382" i="2"/>
  <c r="C382" i="2"/>
  <c r="D382" i="2"/>
  <c r="B383" i="2"/>
  <c r="C383" i="2"/>
  <c r="D383" i="2"/>
  <c r="B384" i="2"/>
  <c r="C384" i="2"/>
  <c r="D384" i="2"/>
  <c r="B385" i="2"/>
  <c r="C385" i="2"/>
  <c r="D385" i="2"/>
  <c r="B386" i="2"/>
  <c r="C386" i="2"/>
  <c r="D386" i="2"/>
  <c r="B387" i="2"/>
  <c r="C387" i="2"/>
  <c r="D387" i="2"/>
  <c r="B388" i="2"/>
  <c r="C388" i="2"/>
  <c r="D388" i="2"/>
  <c r="B389" i="2"/>
  <c r="C389" i="2"/>
  <c r="D389" i="2"/>
  <c r="B390" i="2"/>
  <c r="C390" i="2"/>
  <c r="D390" i="2"/>
  <c r="B391" i="2"/>
  <c r="C391" i="2"/>
  <c r="D391" i="2"/>
  <c r="B392" i="2"/>
  <c r="C392" i="2"/>
  <c r="D392" i="2"/>
  <c r="B393" i="2"/>
  <c r="C393" i="2"/>
  <c r="D393" i="2"/>
  <c r="B394" i="2"/>
  <c r="C394" i="2"/>
  <c r="D394" i="2"/>
  <c r="B395" i="2"/>
  <c r="C395" i="2"/>
  <c r="D395" i="2"/>
  <c r="B396" i="2"/>
  <c r="C396" i="2"/>
  <c r="D396" i="2"/>
  <c r="B397" i="2"/>
  <c r="C397" i="2"/>
  <c r="D397" i="2"/>
  <c r="B398" i="2"/>
  <c r="C398" i="2"/>
  <c r="D398" i="2"/>
  <c r="B399" i="2"/>
  <c r="C399" i="2"/>
  <c r="D399" i="2"/>
  <c r="B400" i="2"/>
  <c r="C400" i="2"/>
  <c r="D400" i="2"/>
  <c r="B47" i="2"/>
  <c r="C47" i="2"/>
  <c r="D47" i="2"/>
  <c r="B48" i="2"/>
  <c r="C48" i="2"/>
  <c r="D48" i="2"/>
  <c r="B49" i="2"/>
  <c r="C49" i="2"/>
  <c r="D49" i="2"/>
  <c r="B50" i="2"/>
  <c r="C50" i="2"/>
  <c r="D50" i="2"/>
  <c r="B51" i="2"/>
  <c r="C51" i="2"/>
  <c r="D51" i="2"/>
  <c r="B52" i="2"/>
  <c r="C52" i="2"/>
  <c r="D52" i="2"/>
  <c r="B53" i="2"/>
  <c r="C53" i="2"/>
  <c r="D53" i="2"/>
  <c r="B54" i="2"/>
  <c r="C54" i="2"/>
  <c r="D54" i="2"/>
  <c r="B55" i="2"/>
  <c r="C55" i="2"/>
  <c r="D55" i="2"/>
  <c r="B56" i="2"/>
  <c r="C56" i="2"/>
  <c r="D56" i="2"/>
  <c r="B57" i="2"/>
  <c r="C57" i="2"/>
  <c r="D57" i="2"/>
  <c r="B58" i="2"/>
  <c r="C58" i="2"/>
  <c r="D58" i="2"/>
  <c r="B59" i="2"/>
  <c r="C59" i="2"/>
  <c r="D59" i="2"/>
  <c r="B60" i="2"/>
  <c r="C60" i="2"/>
  <c r="D60" i="2"/>
  <c r="B61" i="2"/>
  <c r="C61" i="2"/>
  <c r="D61" i="2"/>
  <c r="B62" i="2"/>
  <c r="C62" i="2"/>
  <c r="D62" i="2"/>
  <c r="B63" i="2"/>
  <c r="C63" i="2"/>
  <c r="D63" i="2"/>
  <c r="B64" i="2"/>
  <c r="C64" i="2"/>
  <c r="D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B86" i="2"/>
  <c r="C86" i="2"/>
  <c r="B87" i="2"/>
  <c r="C87" i="2"/>
  <c r="B88" i="2"/>
  <c r="C88" i="2"/>
  <c r="B89" i="2"/>
  <c r="C89" i="2"/>
  <c r="B90" i="2"/>
  <c r="C90" i="2"/>
  <c r="B91" i="2"/>
  <c r="C91" i="2"/>
  <c r="B92" i="2"/>
  <c r="C92" i="2"/>
  <c r="B93" i="2"/>
  <c r="C93" i="2"/>
  <c r="B94" i="2"/>
  <c r="C94" i="2"/>
  <c r="B95" i="2"/>
  <c r="C95" i="2"/>
  <c r="B96" i="2"/>
  <c r="C96" i="2"/>
  <c r="B97" i="2"/>
  <c r="C97" i="2"/>
  <c r="B98" i="2"/>
  <c r="C98" i="2"/>
  <c r="B99" i="2"/>
  <c r="C99" i="2"/>
  <c r="B100" i="2"/>
  <c r="C100" i="2"/>
  <c r="B101" i="2"/>
  <c r="C101" i="2"/>
  <c r="B102" i="2"/>
  <c r="C102" i="2"/>
  <c r="B103" i="2"/>
  <c r="C103" i="2"/>
  <c r="B104" i="2"/>
  <c r="C104" i="2"/>
  <c r="B105" i="2"/>
  <c r="C105" i="2"/>
  <c r="B106" i="2"/>
  <c r="C106" i="2"/>
  <c r="B107" i="2"/>
  <c r="C107" i="2"/>
  <c r="B108" i="2"/>
  <c r="C108" i="2"/>
  <c r="B109" i="2"/>
  <c r="C109" i="2"/>
  <c r="B110" i="2"/>
  <c r="C110" i="2"/>
  <c r="B111" i="2"/>
  <c r="C111" i="2"/>
  <c r="B112" i="2"/>
  <c r="C112" i="2"/>
  <c r="B113" i="2"/>
  <c r="C113" i="2"/>
  <c r="B114" i="2"/>
  <c r="C114" i="2"/>
  <c r="B115" i="2"/>
  <c r="C115" i="2"/>
  <c r="B116" i="2"/>
  <c r="C116" i="2"/>
  <c r="B117" i="2"/>
  <c r="C117" i="2"/>
  <c r="B118" i="2"/>
  <c r="C118" i="2"/>
  <c r="B119" i="2"/>
  <c r="C119" i="2"/>
  <c r="B120" i="2"/>
  <c r="C120" i="2"/>
  <c r="B121" i="2"/>
  <c r="C121" i="2"/>
  <c r="B122" i="2"/>
  <c r="C122" i="2"/>
  <c r="B123" i="2"/>
  <c r="C123" i="2"/>
  <c r="B124" i="2"/>
  <c r="C124" i="2"/>
  <c r="B125" i="2"/>
  <c r="C125" i="2"/>
  <c r="B126" i="2"/>
  <c r="C126" i="2"/>
  <c r="B127" i="2"/>
  <c r="C127" i="2"/>
  <c r="B128" i="2"/>
  <c r="C128" i="2"/>
  <c r="B129" i="2"/>
  <c r="C129" i="2"/>
  <c r="B130" i="2"/>
  <c r="C130" i="2"/>
  <c r="B131" i="2"/>
  <c r="C131" i="2"/>
  <c r="B132" i="2"/>
  <c r="C132" i="2"/>
  <c r="B133" i="2"/>
  <c r="C133" i="2"/>
  <c r="B134" i="2"/>
  <c r="C134" i="2"/>
  <c r="B135" i="2"/>
  <c r="C135" i="2"/>
  <c r="B136" i="2"/>
  <c r="C136" i="2"/>
  <c r="B137" i="2"/>
  <c r="C137" i="2"/>
  <c r="B138" i="2"/>
  <c r="C138" i="2"/>
  <c r="B139" i="2"/>
  <c r="C139" i="2"/>
  <c r="B140" i="2"/>
  <c r="C140" i="2"/>
  <c r="D140" i="2"/>
  <c r="B141" i="2"/>
  <c r="C141" i="2"/>
  <c r="D141" i="2"/>
  <c r="B142" i="2"/>
  <c r="C142" i="2"/>
  <c r="D142" i="2"/>
  <c r="B143" i="2"/>
  <c r="C143" i="2"/>
  <c r="D143" i="2"/>
  <c r="B144" i="2"/>
  <c r="C144" i="2"/>
  <c r="D144" i="2"/>
  <c r="B145" i="2"/>
  <c r="C145" i="2"/>
  <c r="D145" i="2"/>
  <c r="B146" i="2"/>
  <c r="C146" i="2"/>
  <c r="D146" i="2"/>
  <c r="B147" i="2"/>
  <c r="C147" i="2"/>
  <c r="D147" i="2"/>
  <c r="B148" i="2"/>
  <c r="C148" i="2"/>
  <c r="D148" i="2"/>
  <c r="B149" i="2"/>
  <c r="C149" i="2"/>
  <c r="D149" i="2"/>
  <c r="B150" i="2"/>
  <c r="C150" i="2"/>
  <c r="D150" i="2"/>
  <c r="B151" i="2"/>
  <c r="C151" i="2"/>
  <c r="D151" i="2"/>
  <c r="B152" i="2"/>
  <c r="C152" i="2"/>
  <c r="D152" i="2"/>
  <c r="B153" i="2"/>
  <c r="C153" i="2"/>
  <c r="D153" i="2"/>
  <c r="B154" i="2"/>
  <c r="C154" i="2"/>
  <c r="D154" i="2"/>
  <c r="B155" i="2"/>
  <c r="C155" i="2"/>
  <c r="D155" i="2"/>
  <c r="B156" i="2"/>
  <c r="C156" i="2"/>
  <c r="D156" i="2"/>
  <c r="B157" i="2"/>
  <c r="C157" i="2"/>
  <c r="D157" i="2"/>
  <c r="B158" i="2"/>
  <c r="C158" i="2"/>
  <c r="D158" i="2"/>
  <c r="B159" i="2"/>
  <c r="C159" i="2"/>
  <c r="D159" i="2"/>
  <c r="B160" i="2"/>
  <c r="C160" i="2"/>
  <c r="D160" i="2"/>
  <c r="B161" i="2"/>
  <c r="C161" i="2"/>
  <c r="D161" i="2"/>
  <c r="B162" i="2"/>
  <c r="C162" i="2"/>
  <c r="D162" i="2"/>
  <c r="B163" i="2"/>
  <c r="C163" i="2"/>
  <c r="D163" i="2"/>
  <c r="B164" i="2"/>
  <c r="C164" i="2"/>
  <c r="D164" i="2"/>
  <c r="B165" i="2"/>
  <c r="C165" i="2"/>
  <c r="D165" i="2"/>
  <c r="B166" i="2"/>
  <c r="C166" i="2"/>
  <c r="D166" i="2"/>
  <c r="B167" i="2"/>
  <c r="C167" i="2"/>
  <c r="D167" i="2"/>
  <c r="B168" i="2"/>
  <c r="C168" i="2"/>
  <c r="D168" i="2"/>
  <c r="B169" i="2"/>
  <c r="C169" i="2"/>
  <c r="D169" i="2"/>
  <c r="B170" i="2"/>
  <c r="C170" i="2"/>
  <c r="D170" i="2"/>
  <c r="B171" i="2"/>
  <c r="C171" i="2"/>
  <c r="D171" i="2"/>
  <c r="B172" i="2"/>
  <c r="C172" i="2"/>
  <c r="D172" i="2"/>
  <c r="B173" i="2"/>
  <c r="C173" i="2"/>
  <c r="D173" i="2"/>
  <c r="B174" i="2"/>
  <c r="C174" i="2"/>
  <c r="D174" i="2"/>
  <c r="B175" i="2"/>
  <c r="C175" i="2"/>
  <c r="D175" i="2"/>
  <c r="B176" i="2"/>
  <c r="C176" i="2"/>
  <c r="D176" i="2"/>
  <c r="B177" i="2"/>
  <c r="C177" i="2"/>
  <c r="D177" i="2"/>
  <c r="B178" i="2"/>
  <c r="C178" i="2"/>
  <c r="D178" i="2"/>
  <c r="B179" i="2"/>
  <c r="C179" i="2"/>
  <c r="D179" i="2"/>
  <c r="B180" i="2"/>
  <c r="C180" i="2"/>
  <c r="D180" i="2"/>
  <c r="B181" i="2"/>
  <c r="C181" i="2"/>
  <c r="D181" i="2"/>
  <c r="B182" i="2"/>
  <c r="C182" i="2"/>
  <c r="D182" i="2"/>
  <c r="B183" i="2"/>
  <c r="C183" i="2"/>
  <c r="D183" i="2"/>
  <c r="B184" i="2"/>
  <c r="C184" i="2"/>
  <c r="D184" i="2"/>
  <c r="B185" i="2"/>
  <c r="C185" i="2"/>
  <c r="D185" i="2"/>
  <c r="B186" i="2"/>
  <c r="C186" i="2"/>
  <c r="D186" i="2"/>
  <c r="B187" i="2"/>
  <c r="C187" i="2"/>
  <c r="D187" i="2"/>
  <c r="B188" i="2"/>
  <c r="C188" i="2"/>
  <c r="D188" i="2"/>
  <c r="B189" i="2"/>
  <c r="C189" i="2"/>
  <c r="D189" i="2"/>
  <c r="B190" i="2"/>
  <c r="C190" i="2"/>
  <c r="D190" i="2"/>
  <c r="B191" i="2"/>
  <c r="C191" i="2"/>
  <c r="D191" i="2"/>
  <c r="B192" i="2"/>
  <c r="C192" i="2"/>
  <c r="D192" i="2"/>
  <c r="B193" i="2"/>
  <c r="C193" i="2"/>
  <c r="D193" i="2"/>
  <c r="B194" i="2"/>
  <c r="C194" i="2"/>
  <c r="D194" i="2"/>
  <c r="B195" i="2"/>
  <c r="C195" i="2"/>
  <c r="D195" i="2"/>
  <c r="B196" i="2"/>
  <c r="C196" i="2"/>
  <c r="D196" i="2"/>
  <c r="B197" i="2"/>
  <c r="C197" i="2"/>
  <c r="D197" i="2"/>
  <c r="B198" i="2"/>
  <c r="C198" i="2"/>
  <c r="D198" i="2"/>
  <c r="B199" i="2"/>
  <c r="C199" i="2"/>
  <c r="D199" i="2"/>
  <c r="B200" i="2"/>
  <c r="C200" i="2"/>
  <c r="D200" i="2"/>
  <c r="B201" i="2"/>
  <c r="C201" i="2"/>
  <c r="D201" i="2"/>
  <c r="B202" i="2"/>
  <c r="C202" i="2"/>
  <c r="D202" i="2"/>
  <c r="B203" i="2"/>
  <c r="C203" i="2"/>
  <c r="D203" i="2"/>
  <c r="B204" i="2"/>
  <c r="C204" i="2"/>
  <c r="D204" i="2"/>
  <c r="B205" i="2"/>
  <c r="C205" i="2"/>
  <c r="D205" i="2"/>
  <c r="B206" i="2"/>
  <c r="C206" i="2"/>
  <c r="D206" i="2"/>
  <c r="B207" i="2"/>
  <c r="C207" i="2"/>
  <c r="D207" i="2"/>
  <c r="B208" i="2"/>
  <c r="C208" i="2"/>
  <c r="D208" i="2"/>
  <c r="B209" i="2"/>
  <c r="C209" i="2"/>
  <c r="D209" i="2"/>
  <c r="B210" i="2"/>
  <c r="C210" i="2"/>
  <c r="D210" i="2"/>
  <c r="B211" i="2"/>
  <c r="C211" i="2"/>
  <c r="D211" i="2"/>
  <c r="B212" i="2"/>
  <c r="C212" i="2"/>
  <c r="D212" i="2"/>
  <c r="B213" i="2"/>
  <c r="C213" i="2"/>
  <c r="D213" i="2"/>
  <c r="B214" i="2"/>
  <c r="C214" i="2"/>
  <c r="D214" i="2"/>
  <c r="B215" i="2"/>
  <c r="C215" i="2"/>
  <c r="D215" i="2"/>
  <c r="B216" i="2"/>
  <c r="C216" i="2"/>
  <c r="D216" i="2"/>
  <c r="B217" i="2"/>
  <c r="C217" i="2"/>
  <c r="D217" i="2"/>
  <c r="B218" i="2"/>
  <c r="C218" i="2"/>
  <c r="D218" i="2"/>
  <c r="B219" i="2"/>
  <c r="C219" i="2"/>
  <c r="D219" i="2"/>
  <c r="B220" i="2"/>
  <c r="C220" i="2"/>
  <c r="D220" i="2"/>
  <c r="B221" i="2"/>
  <c r="C221" i="2"/>
  <c r="D221" i="2"/>
  <c r="B222" i="2"/>
  <c r="C222" i="2"/>
  <c r="D222" i="2"/>
  <c r="B223" i="2"/>
  <c r="C223" i="2"/>
  <c r="D223" i="2"/>
  <c r="B224" i="2"/>
  <c r="C224" i="2"/>
  <c r="D224" i="2"/>
  <c r="B225" i="2"/>
  <c r="C225" i="2"/>
  <c r="D225" i="2"/>
  <c r="B226" i="2"/>
  <c r="C226" i="2"/>
  <c r="D226" i="2"/>
  <c r="B227" i="2"/>
  <c r="C227" i="2"/>
  <c r="D227" i="2"/>
  <c r="B228" i="2"/>
  <c r="C228" i="2"/>
  <c r="D228" i="2"/>
  <c r="B229" i="2"/>
  <c r="C229" i="2"/>
  <c r="D229" i="2"/>
  <c r="B230" i="2"/>
  <c r="C230" i="2"/>
  <c r="D230" i="2"/>
  <c r="B231" i="2"/>
  <c r="C231" i="2"/>
  <c r="D231" i="2"/>
  <c r="B232" i="2"/>
  <c r="C232" i="2"/>
  <c r="D232" i="2"/>
  <c r="B233" i="2"/>
  <c r="C233" i="2"/>
  <c r="D233" i="2"/>
  <c r="B234" i="2"/>
  <c r="C234" i="2"/>
  <c r="D234" i="2"/>
  <c r="B235" i="2"/>
  <c r="C235" i="2"/>
  <c r="D235" i="2"/>
  <c r="B236" i="2"/>
  <c r="C236" i="2"/>
  <c r="D236" i="2"/>
  <c r="B237" i="2"/>
  <c r="C237" i="2"/>
  <c r="D237" i="2"/>
  <c r="B238" i="2"/>
  <c r="C238" i="2"/>
  <c r="D238" i="2"/>
  <c r="B239" i="2"/>
  <c r="C239" i="2"/>
  <c r="D239" i="2"/>
  <c r="B240" i="2"/>
  <c r="C240" i="2"/>
  <c r="D240" i="2"/>
  <c r="B241" i="2"/>
  <c r="C241" i="2"/>
  <c r="D241" i="2"/>
  <c r="B242" i="2"/>
  <c r="C242" i="2"/>
  <c r="D242" i="2"/>
  <c r="B243" i="2"/>
  <c r="C243" i="2"/>
  <c r="D243" i="2"/>
  <c r="B244" i="2"/>
  <c r="C244" i="2"/>
  <c r="D244" i="2"/>
  <c r="B245" i="2"/>
  <c r="C245" i="2"/>
  <c r="D245" i="2"/>
  <c r="B246" i="2"/>
  <c r="C246" i="2"/>
  <c r="D246" i="2"/>
  <c r="B247" i="2"/>
  <c r="C247" i="2"/>
  <c r="D247" i="2"/>
  <c r="B248" i="2"/>
  <c r="C248" i="2"/>
  <c r="D248" i="2"/>
  <c r="B249" i="2"/>
  <c r="C249" i="2"/>
  <c r="D249" i="2"/>
  <c r="B250" i="2"/>
  <c r="C250" i="2"/>
  <c r="D250" i="2"/>
  <c r="B251" i="2"/>
  <c r="C251" i="2"/>
  <c r="D251" i="2"/>
  <c r="B252" i="2"/>
  <c r="C252" i="2"/>
  <c r="D252" i="2"/>
  <c r="B253" i="2"/>
  <c r="C253" i="2"/>
  <c r="D253" i="2"/>
  <c r="B254" i="2"/>
  <c r="C254" i="2"/>
  <c r="D254" i="2"/>
  <c r="B255" i="2"/>
  <c r="C255" i="2"/>
  <c r="D255" i="2"/>
  <c r="B256" i="2"/>
  <c r="C256" i="2"/>
  <c r="D256" i="2"/>
  <c r="B257" i="2"/>
  <c r="C257" i="2"/>
  <c r="D257" i="2"/>
  <c r="B258" i="2"/>
  <c r="C258" i="2"/>
  <c r="D258" i="2"/>
  <c r="B259" i="2"/>
  <c r="C259" i="2"/>
  <c r="D259" i="2"/>
  <c r="B260" i="2"/>
  <c r="C260" i="2"/>
  <c r="D260" i="2"/>
  <c r="B261" i="2"/>
  <c r="C261" i="2"/>
  <c r="D261" i="2"/>
  <c r="B262" i="2"/>
  <c r="C262" i="2"/>
  <c r="D262" i="2"/>
  <c r="B263" i="2"/>
  <c r="C263" i="2"/>
  <c r="D263" i="2"/>
  <c r="B264" i="2"/>
  <c r="C264" i="2"/>
  <c r="D264" i="2"/>
  <c r="B265" i="2"/>
  <c r="C265" i="2"/>
  <c r="D265" i="2"/>
  <c r="B266" i="2"/>
  <c r="C266" i="2"/>
  <c r="D266" i="2"/>
  <c r="B267" i="2"/>
  <c r="C267" i="2"/>
  <c r="D267" i="2"/>
  <c r="B268" i="2"/>
  <c r="C268" i="2"/>
  <c r="D268" i="2"/>
  <c r="B269" i="2"/>
  <c r="C269" i="2"/>
  <c r="D269" i="2"/>
  <c r="B270" i="2"/>
  <c r="C270" i="2"/>
  <c r="D270" i="2"/>
  <c r="B271" i="2"/>
  <c r="C271" i="2"/>
  <c r="D271" i="2"/>
  <c r="B272" i="2"/>
  <c r="C272" i="2"/>
  <c r="D272" i="2"/>
  <c r="B273" i="2"/>
  <c r="C273" i="2"/>
  <c r="D273" i="2"/>
  <c r="B274" i="2"/>
  <c r="C274" i="2"/>
  <c r="D274" i="2"/>
  <c r="B275" i="2"/>
  <c r="C275" i="2"/>
  <c r="D275" i="2"/>
  <c r="B276" i="2"/>
  <c r="C276" i="2"/>
  <c r="D276" i="2"/>
  <c r="B277" i="2"/>
  <c r="C277" i="2"/>
  <c r="D277" i="2"/>
  <c r="B278" i="2"/>
  <c r="C278" i="2"/>
  <c r="D278" i="2"/>
  <c r="B279" i="2"/>
  <c r="C279" i="2"/>
  <c r="D279" i="2"/>
  <c r="B280" i="2"/>
  <c r="C280" i="2"/>
  <c r="D280" i="2"/>
  <c r="B281" i="2"/>
  <c r="C281" i="2"/>
  <c r="D281" i="2"/>
  <c r="B282" i="2"/>
  <c r="C282" i="2"/>
  <c r="D282" i="2"/>
  <c r="B283" i="2"/>
  <c r="C283" i="2"/>
  <c r="D283" i="2"/>
  <c r="B284" i="2"/>
  <c r="C284" i="2"/>
  <c r="D284" i="2"/>
  <c r="B285" i="2"/>
  <c r="C285" i="2"/>
  <c r="D285" i="2"/>
  <c r="B286" i="2"/>
  <c r="C286" i="2"/>
  <c r="D286" i="2"/>
  <c r="B287" i="2"/>
  <c r="C287" i="2"/>
  <c r="D287" i="2"/>
  <c r="B288" i="2"/>
  <c r="C288" i="2"/>
  <c r="D288" i="2"/>
  <c r="B289" i="2"/>
  <c r="C289" i="2"/>
  <c r="D289" i="2"/>
  <c r="B290" i="2"/>
  <c r="C290" i="2"/>
  <c r="D290" i="2"/>
  <c r="B291" i="2"/>
  <c r="C291" i="2"/>
  <c r="D291" i="2"/>
  <c r="B292" i="2"/>
  <c r="C292" i="2"/>
  <c r="D292" i="2"/>
  <c r="B293" i="2"/>
  <c r="C293" i="2"/>
  <c r="D293" i="2"/>
  <c r="B294" i="2"/>
  <c r="C294" i="2"/>
  <c r="D294" i="2"/>
  <c r="B295" i="2"/>
  <c r="C295" i="2"/>
  <c r="D295" i="2"/>
  <c r="B296" i="2"/>
  <c r="C296" i="2"/>
  <c r="D296" i="2"/>
  <c r="B297" i="2"/>
  <c r="C297" i="2"/>
  <c r="D297" i="2"/>
  <c r="B298" i="2"/>
  <c r="C298" i="2"/>
  <c r="D298" i="2"/>
  <c r="B299" i="2"/>
  <c r="C299" i="2"/>
  <c r="D299" i="2"/>
  <c r="B300" i="2"/>
  <c r="C300" i="2"/>
  <c r="D300" i="2"/>
  <c r="B301" i="2"/>
  <c r="C301" i="2"/>
  <c r="D301" i="2"/>
  <c r="B302" i="2"/>
  <c r="C302" i="2"/>
  <c r="D302" i="2"/>
  <c r="B303" i="2"/>
  <c r="C303" i="2"/>
  <c r="D303" i="2"/>
  <c r="B304" i="2"/>
  <c r="C304" i="2"/>
  <c r="D304" i="2"/>
  <c r="B305" i="2"/>
  <c r="C305" i="2"/>
  <c r="D305" i="2"/>
  <c r="B306" i="2"/>
  <c r="C306" i="2"/>
  <c r="D306" i="2"/>
  <c r="B307" i="2"/>
  <c r="C307" i="2"/>
  <c r="D307" i="2"/>
  <c r="B308" i="2"/>
  <c r="C308" i="2"/>
  <c r="D308" i="2"/>
  <c r="B309" i="2"/>
  <c r="C309" i="2"/>
  <c r="D309" i="2"/>
  <c r="B310" i="2"/>
  <c r="C310" i="2"/>
  <c r="D310" i="2"/>
  <c r="B311" i="2"/>
  <c r="C311" i="2"/>
  <c r="D311" i="2"/>
  <c r="B312" i="2"/>
  <c r="C312" i="2"/>
  <c r="D312" i="2"/>
  <c r="B313" i="2"/>
  <c r="C313" i="2"/>
  <c r="D313" i="2"/>
  <c r="B314" i="2"/>
  <c r="C314" i="2"/>
  <c r="D314" i="2"/>
  <c r="B315" i="2"/>
  <c r="C315" i="2"/>
  <c r="D315" i="2"/>
  <c r="B316" i="2"/>
  <c r="C316" i="2"/>
  <c r="D316" i="2"/>
  <c r="B317" i="2"/>
  <c r="C317" i="2"/>
  <c r="D317" i="2"/>
  <c r="B318" i="2"/>
  <c r="C318" i="2"/>
  <c r="D318" i="2"/>
  <c r="B319" i="2"/>
  <c r="C319" i="2"/>
  <c r="D319" i="2"/>
  <c r="B320" i="2"/>
  <c r="C320" i="2"/>
  <c r="D320" i="2"/>
  <c r="B321" i="2"/>
  <c r="C321" i="2"/>
  <c r="D321" i="2"/>
  <c r="B322" i="2"/>
  <c r="C322" i="2"/>
  <c r="D322" i="2"/>
  <c r="B323" i="2"/>
  <c r="C323" i="2"/>
  <c r="D323" i="2"/>
  <c r="B324" i="2"/>
  <c r="C324" i="2"/>
  <c r="D324" i="2"/>
  <c r="B325" i="2"/>
  <c r="C325" i="2"/>
  <c r="D325" i="2"/>
  <c r="B326" i="2"/>
  <c r="C326" i="2"/>
  <c r="D326" i="2"/>
  <c r="B327" i="2"/>
  <c r="C327" i="2"/>
  <c r="D327" i="2"/>
  <c r="B328" i="2"/>
  <c r="C328" i="2"/>
  <c r="D328" i="2"/>
  <c r="B329" i="2"/>
  <c r="C329" i="2"/>
  <c r="D329" i="2"/>
  <c r="B330" i="2"/>
  <c r="C330" i="2"/>
  <c r="D330" i="2"/>
  <c r="B331" i="2"/>
  <c r="C331" i="2"/>
  <c r="D331" i="2"/>
  <c r="B332" i="2"/>
  <c r="C332" i="2"/>
  <c r="D332" i="2"/>
  <c r="B333" i="2"/>
  <c r="C333" i="2"/>
  <c r="D333" i="2"/>
  <c r="B334" i="2"/>
  <c r="C334" i="2"/>
  <c r="D334" i="2"/>
  <c r="B335" i="2"/>
  <c r="C335" i="2"/>
  <c r="D335" i="2"/>
  <c r="B336" i="2"/>
  <c r="C336" i="2"/>
  <c r="D336" i="2"/>
  <c r="B337" i="2"/>
  <c r="C337" i="2"/>
  <c r="D337" i="2"/>
  <c r="B338" i="2"/>
  <c r="C338" i="2"/>
  <c r="D338" i="2"/>
  <c r="B339" i="2"/>
  <c r="C339" i="2"/>
  <c r="D339" i="2"/>
  <c r="B340" i="2"/>
  <c r="C340" i="2"/>
  <c r="D340" i="2"/>
  <c r="B341" i="2"/>
  <c r="C341" i="2"/>
  <c r="D341" i="2"/>
  <c r="B342" i="2"/>
  <c r="C342" i="2"/>
  <c r="D342" i="2"/>
  <c r="B343" i="2"/>
  <c r="C343" i="2"/>
  <c r="D343" i="2"/>
  <c r="B344" i="2"/>
  <c r="C344" i="2"/>
  <c r="D344" i="2"/>
  <c r="B345" i="2"/>
  <c r="C345" i="2"/>
  <c r="D345" i="2"/>
  <c r="B346" i="2"/>
  <c r="C346" i="2"/>
  <c r="D346" i="2"/>
  <c r="B347" i="2"/>
  <c r="C347" i="2"/>
  <c r="D347" i="2"/>
  <c r="B348" i="2"/>
  <c r="C348" i="2"/>
  <c r="D348" i="2"/>
  <c r="B349" i="2"/>
  <c r="C349" i="2"/>
  <c r="D349" i="2"/>
  <c r="B350" i="2"/>
  <c r="C350" i="2"/>
  <c r="D350" i="2"/>
  <c r="B351" i="2"/>
  <c r="C351" i="2"/>
  <c r="D351" i="2"/>
  <c r="B352" i="2"/>
  <c r="C352" i="2"/>
  <c r="D352" i="2"/>
  <c r="B353" i="2"/>
  <c r="C353" i="2"/>
  <c r="D353" i="2"/>
  <c r="B354" i="2"/>
  <c r="C354" i="2"/>
  <c r="D354" i="2"/>
  <c r="B355" i="2"/>
  <c r="C355" i="2"/>
  <c r="D355" i="2"/>
  <c r="B356" i="2"/>
  <c r="C356" i="2"/>
  <c r="D356" i="2"/>
  <c r="E64" i="3"/>
  <c r="E65" i="3"/>
  <c r="I46" i="3"/>
  <c r="H46" i="3"/>
  <c r="I45" i="3"/>
  <c r="H45" i="3"/>
  <c r="H32" i="3" l="1"/>
  <c r="I24" i="3"/>
  <c r="H24" i="3"/>
  <c r="B8" i="2"/>
  <c r="B9" i="2"/>
  <c r="B10" i="2"/>
  <c r="B11" i="2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5" i="3"/>
  <c r="I25" i="3"/>
  <c r="H26" i="3"/>
  <c r="I26" i="3"/>
  <c r="H27" i="3"/>
  <c r="I27" i="3"/>
  <c r="H28" i="3"/>
  <c r="I28" i="3"/>
  <c r="H29" i="3"/>
  <c r="I29" i="3"/>
  <c r="H30" i="3"/>
  <c r="I30" i="3"/>
  <c r="H31" i="3"/>
  <c r="I31" i="3"/>
  <c r="I32" i="3"/>
  <c r="H33" i="3"/>
  <c r="I33" i="3"/>
  <c r="H34" i="3"/>
  <c r="I34" i="3"/>
  <c r="H35" i="3"/>
  <c r="I35" i="3"/>
  <c r="H36" i="3"/>
  <c r="I36" i="3"/>
  <c r="H37" i="3"/>
  <c r="I37" i="3"/>
  <c r="H38" i="3"/>
  <c r="I38" i="3"/>
  <c r="H39" i="3"/>
  <c r="I39" i="3"/>
  <c r="H40" i="3"/>
  <c r="I40" i="3"/>
  <c r="H41" i="3"/>
  <c r="I41" i="3"/>
  <c r="H42" i="3"/>
  <c r="I42" i="3"/>
  <c r="H43" i="3"/>
  <c r="I43" i="3"/>
  <c r="H44" i="3"/>
  <c r="I44" i="3"/>
  <c r="H47" i="3"/>
  <c r="I47" i="3"/>
  <c r="H48" i="3"/>
  <c r="I48" i="3"/>
  <c r="H49" i="3"/>
  <c r="I49" i="3"/>
  <c r="H50" i="3"/>
  <c r="I50" i="3"/>
  <c r="H51" i="3"/>
  <c r="I51" i="3"/>
  <c r="H52" i="3"/>
  <c r="I52" i="3"/>
  <c r="H53" i="3"/>
  <c r="I53" i="3"/>
  <c r="H54" i="3"/>
  <c r="I54" i="3"/>
  <c r="H55" i="3"/>
  <c r="I55" i="3"/>
  <c r="H56" i="3"/>
  <c r="I56" i="3"/>
  <c r="H57" i="3"/>
  <c r="I57" i="3"/>
  <c r="H58" i="3"/>
  <c r="I58" i="3"/>
  <c r="H59" i="3"/>
  <c r="I59" i="3"/>
  <c r="H60" i="3"/>
  <c r="I60" i="3"/>
  <c r="H61" i="3"/>
  <c r="I61" i="3"/>
  <c r="H62" i="3"/>
  <c r="I62" i="3"/>
  <c r="H63" i="3"/>
  <c r="I63" i="3"/>
  <c r="H64" i="3"/>
  <c r="I64" i="3"/>
  <c r="H65" i="3"/>
  <c r="I65" i="3"/>
  <c r="H66" i="3"/>
  <c r="I66" i="3"/>
  <c r="H67" i="3"/>
  <c r="I67" i="3"/>
  <c r="H68" i="3"/>
  <c r="I68" i="3"/>
  <c r="H69" i="3"/>
  <c r="I69" i="3"/>
  <c r="H70" i="3"/>
  <c r="I70" i="3"/>
  <c r="H71" i="3"/>
  <c r="I71" i="3"/>
  <c r="H72" i="3"/>
  <c r="I72" i="3"/>
  <c r="H73" i="3"/>
  <c r="I73" i="3"/>
  <c r="H74" i="3"/>
  <c r="I74" i="3"/>
  <c r="H75" i="3"/>
  <c r="I75" i="3"/>
  <c r="H76" i="3"/>
  <c r="I76" i="3"/>
  <c r="H77" i="3"/>
  <c r="I77" i="3"/>
  <c r="H78" i="3"/>
  <c r="I78" i="3"/>
  <c r="H79" i="3"/>
  <c r="I79" i="3"/>
  <c r="H80" i="3"/>
  <c r="I80" i="3"/>
  <c r="H81" i="3"/>
  <c r="I81" i="3"/>
  <c r="H82" i="3"/>
  <c r="I82" i="3"/>
  <c r="H83" i="3"/>
  <c r="I83" i="3"/>
  <c r="H84" i="3"/>
  <c r="I84" i="3"/>
  <c r="H85" i="3"/>
  <c r="I85" i="3"/>
  <c r="H86" i="3"/>
  <c r="I86" i="3"/>
  <c r="H87" i="3"/>
  <c r="I87" i="3"/>
  <c r="H88" i="3"/>
  <c r="I88" i="3"/>
  <c r="H89" i="3"/>
  <c r="I89" i="3"/>
  <c r="H90" i="3"/>
  <c r="I90" i="3"/>
  <c r="H91" i="3"/>
  <c r="I91" i="3"/>
  <c r="H92" i="3"/>
  <c r="I92" i="3"/>
  <c r="H93" i="3"/>
  <c r="I93" i="3"/>
  <c r="H94" i="3"/>
  <c r="I94" i="3"/>
  <c r="H95" i="3"/>
  <c r="I95" i="3"/>
  <c r="H96" i="3"/>
  <c r="I96" i="3"/>
  <c r="H97" i="3"/>
  <c r="I97" i="3"/>
  <c r="H98" i="3"/>
  <c r="I98" i="3"/>
  <c r="H99" i="3"/>
  <c r="I99" i="3"/>
  <c r="H100" i="3"/>
  <c r="I100" i="3"/>
  <c r="H101" i="3"/>
  <c r="I101" i="3"/>
  <c r="H102" i="3"/>
  <c r="I102" i="3"/>
  <c r="H103" i="3"/>
  <c r="I103" i="3"/>
  <c r="H104" i="3"/>
  <c r="I104" i="3"/>
  <c r="H105" i="3"/>
  <c r="I105" i="3"/>
  <c r="H106" i="3"/>
  <c r="I106" i="3"/>
  <c r="H107" i="3"/>
  <c r="I107" i="3"/>
  <c r="H108" i="3"/>
  <c r="I108" i="3"/>
  <c r="H109" i="3"/>
  <c r="I109" i="3"/>
  <c r="H110" i="3"/>
  <c r="I110" i="3"/>
  <c r="H111" i="3"/>
  <c r="I111" i="3"/>
  <c r="H112" i="3"/>
  <c r="I112" i="3"/>
  <c r="H113" i="3"/>
  <c r="I113" i="3"/>
  <c r="H114" i="3"/>
  <c r="I114" i="3"/>
  <c r="H115" i="3"/>
  <c r="I115" i="3"/>
  <c r="H116" i="3"/>
  <c r="I116" i="3"/>
  <c r="H117" i="3"/>
  <c r="I117" i="3"/>
  <c r="H118" i="3"/>
  <c r="I118" i="3"/>
  <c r="H119" i="3"/>
  <c r="I119" i="3"/>
  <c r="H120" i="3"/>
  <c r="I120" i="3"/>
  <c r="H121" i="3"/>
  <c r="I121" i="3"/>
  <c r="H122" i="3"/>
  <c r="I122" i="3"/>
  <c r="H123" i="3"/>
  <c r="I123" i="3"/>
  <c r="H124" i="3"/>
  <c r="I124" i="3"/>
  <c r="H125" i="3"/>
  <c r="I125" i="3"/>
  <c r="H126" i="3"/>
  <c r="I126" i="3"/>
  <c r="H127" i="3"/>
  <c r="I127" i="3"/>
  <c r="H128" i="3"/>
  <c r="I128" i="3"/>
  <c r="H129" i="3"/>
  <c r="I129" i="3"/>
  <c r="H130" i="3"/>
  <c r="I130" i="3"/>
  <c r="H131" i="3"/>
  <c r="I131" i="3"/>
  <c r="H132" i="3"/>
  <c r="I132" i="3"/>
  <c r="H133" i="3"/>
  <c r="I133" i="3"/>
  <c r="H134" i="3"/>
  <c r="I134" i="3"/>
  <c r="H135" i="3"/>
  <c r="I135" i="3"/>
  <c r="H136" i="3"/>
  <c r="I136" i="3"/>
  <c r="H137" i="3"/>
  <c r="I137" i="3"/>
  <c r="H138" i="3"/>
  <c r="I138" i="3"/>
  <c r="I3" i="3"/>
  <c r="H3" i="3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7" i="2"/>
  <c r="C6" i="2"/>
  <c r="C5" i="2"/>
  <c r="C4" i="2"/>
  <c r="C3" i="2"/>
  <c r="B45" i="2"/>
  <c r="B46" i="2"/>
  <c r="A4" i="4"/>
  <c r="A5" i="4"/>
  <c r="A6" i="4" s="1"/>
  <c r="E2" i="4"/>
  <c r="F2" i="4"/>
  <c r="G2" i="4"/>
  <c r="H2" i="4" s="1"/>
  <c r="D2" i="4"/>
  <c r="E63" i="3"/>
  <c r="D65" i="2"/>
  <c r="E66" i="3"/>
  <c r="D66" i="2" s="1"/>
  <c r="E67" i="3"/>
  <c r="G67" i="3" s="1"/>
  <c r="D67" i="2" s="1"/>
  <c r="E68" i="3"/>
  <c r="D68" i="2" s="1"/>
  <c r="E69" i="3"/>
  <c r="D69" i="2" s="1"/>
  <c r="E70" i="3"/>
  <c r="D70" i="2" s="1"/>
  <c r="E71" i="3"/>
  <c r="D71" i="2" s="1"/>
  <c r="E72" i="3"/>
  <c r="D72" i="2" s="1"/>
  <c r="E73" i="3"/>
  <c r="D73" i="2" s="1"/>
  <c r="E74" i="3"/>
  <c r="D74" i="2" s="1"/>
  <c r="E75" i="3"/>
  <c r="D75" i="2" l="1"/>
  <c r="D46" i="2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I2" i="4"/>
  <c r="J2" i="4" l="1"/>
  <c r="K2" i="4" l="1"/>
  <c r="L2" i="4" l="1"/>
  <c r="M2" i="4" l="1"/>
  <c r="N2" i="4" l="1"/>
  <c r="O2" i="4" l="1"/>
  <c r="P2" i="4" l="1"/>
  <c r="Q2" i="4" l="1"/>
  <c r="R2" i="4" l="1"/>
  <c r="S2" i="4" l="1"/>
  <c r="T2" i="4" l="1"/>
  <c r="U2" i="4" l="1"/>
  <c r="V2" i="4" l="1"/>
  <c r="W2" i="4" l="1"/>
  <c r="X2" i="4" l="1"/>
  <c r="Y2" i="4" l="1"/>
  <c r="Z2" i="4" l="1"/>
  <c r="AA2" i="4" l="1"/>
  <c r="AB2" i="4" l="1"/>
  <c r="AC2" i="4" l="1"/>
  <c r="AD2" i="4" l="1"/>
  <c r="AE2" i="4" l="1"/>
  <c r="AF2" i="4" l="1"/>
  <c r="AG2" i="4" l="1"/>
  <c r="AH2" i="4" l="1"/>
  <c r="AI2" i="4" l="1"/>
  <c r="AJ2" i="4" l="1"/>
  <c r="AK2" i="4" l="1"/>
  <c r="AL2" i="4" l="1"/>
  <c r="AM2" i="4" l="1"/>
  <c r="AN2" i="4" l="1"/>
  <c r="AO2" i="4" l="1"/>
  <c r="AP2" i="4" l="1"/>
  <c r="AQ2" i="4" l="1"/>
  <c r="AR2" i="4" l="1"/>
  <c r="D76" i="2" l="1"/>
  <c r="E77" i="3"/>
  <c r="G77" i="3" s="1"/>
  <c r="D77" i="2" s="1"/>
  <c r="E78" i="3"/>
  <c r="G78" i="3" s="1"/>
  <c r="D78" i="2" s="1"/>
  <c r="E79" i="3"/>
  <c r="G79" i="3" s="1"/>
  <c r="D79" i="2" s="1"/>
  <c r="E80" i="3"/>
  <c r="G80" i="3" s="1"/>
  <c r="D80" i="2" s="1"/>
  <c r="E81" i="3"/>
  <c r="G81" i="3" s="1"/>
  <c r="D81" i="2" s="1"/>
  <c r="E82" i="3"/>
  <c r="G82" i="3" s="1"/>
  <c r="D82" i="2" s="1"/>
  <c r="E83" i="3"/>
  <c r="G83" i="3" s="1"/>
  <c r="D83" i="2" s="1"/>
  <c r="E84" i="3"/>
  <c r="G84" i="3" s="1"/>
  <c r="D84" i="2" s="1"/>
  <c r="E85" i="3"/>
  <c r="G85" i="3" s="1"/>
  <c r="D85" i="2" s="1"/>
  <c r="E86" i="3"/>
  <c r="G86" i="3" s="1"/>
  <c r="D86" i="2" s="1"/>
  <c r="E87" i="3"/>
  <c r="G87" i="3" s="1"/>
  <c r="D87" i="2" s="1"/>
  <c r="E88" i="3"/>
  <c r="G88" i="3" s="1"/>
  <c r="D88" i="2" s="1"/>
  <c r="E89" i="3"/>
  <c r="G89" i="3" s="1"/>
  <c r="D89" i="2" s="1"/>
  <c r="E90" i="3"/>
  <c r="G90" i="3" s="1"/>
  <c r="D90" i="2" s="1"/>
  <c r="E91" i="3"/>
  <c r="G91" i="3" s="1"/>
  <c r="D91" i="2" s="1"/>
  <c r="E92" i="3"/>
  <c r="G92" i="3" s="1"/>
  <c r="D92" i="2" s="1"/>
  <c r="E93" i="3"/>
  <c r="G93" i="3" s="1"/>
  <c r="D93" i="2" s="1"/>
  <c r="E94" i="3"/>
  <c r="G94" i="3" s="1"/>
  <c r="D94" i="2" s="1"/>
  <c r="E95" i="3"/>
  <c r="G95" i="3" s="1"/>
  <c r="D95" i="2" s="1"/>
  <c r="E96" i="3"/>
  <c r="G96" i="3" s="1"/>
  <c r="D96" i="2" s="1"/>
  <c r="E97" i="3"/>
  <c r="G97" i="3" s="1"/>
  <c r="D97" i="2" s="1"/>
  <c r="E98" i="3"/>
  <c r="G98" i="3" s="1"/>
  <c r="D98" i="2" s="1"/>
  <c r="E99" i="3"/>
  <c r="G99" i="3" s="1"/>
  <c r="D99" i="2" s="1"/>
  <c r="E100" i="3"/>
  <c r="G100" i="3" s="1"/>
  <c r="D100" i="2" s="1"/>
  <c r="E101" i="3"/>
  <c r="G101" i="3" s="1"/>
  <c r="D101" i="2" s="1"/>
  <c r="E102" i="3"/>
  <c r="G102" i="3" s="1"/>
  <c r="D102" i="2" s="1"/>
  <c r="E103" i="3"/>
  <c r="G103" i="3" s="1"/>
  <c r="D103" i="2" s="1"/>
  <c r="E104" i="3"/>
  <c r="G104" i="3" s="1"/>
  <c r="D104" i="2" s="1"/>
  <c r="E105" i="3"/>
  <c r="G105" i="3" s="1"/>
  <c r="D105" i="2" s="1"/>
  <c r="E106" i="3"/>
  <c r="G106" i="3" s="1"/>
  <c r="D106" i="2" s="1"/>
  <c r="E107" i="3"/>
  <c r="G107" i="3" s="1"/>
  <c r="D107" i="2" s="1"/>
  <c r="E108" i="3"/>
  <c r="G108" i="3" s="1"/>
  <c r="D108" i="2" s="1"/>
  <c r="E109" i="3"/>
  <c r="G109" i="3" s="1"/>
  <c r="D109" i="2" s="1"/>
  <c r="E110" i="3"/>
  <c r="G110" i="3" s="1"/>
  <c r="D110" i="2" s="1"/>
  <c r="E111" i="3"/>
  <c r="G111" i="3" s="1"/>
  <c r="D111" i="2" s="1"/>
  <c r="E112" i="3"/>
  <c r="G112" i="3" s="1"/>
  <c r="D112" i="2" s="1"/>
  <c r="E113" i="3"/>
  <c r="G113" i="3" s="1"/>
  <c r="D113" i="2" s="1"/>
  <c r="E114" i="3"/>
  <c r="G114" i="3" s="1"/>
  <c r="D114" i="2" s="1"/>
  <c r="E115" i="3"/>
  <c r="G115" i="3" s="1"/>
  <c r="D115" i="2" s="1"/>
  <c r="E116" i="3"/>
  <c r="G116" i="3" s="1"/>
  <c r="D116" i="2" s="1"/>
  <c r="E117" i="3"/>
  <c r="G117" i="3" s="1"/>
  <c r="D117" i="2" s="1"/>
  <c r="E118" i="3"/>
  <c r="G118" i="3" s="1"/>
  <c r="D118" i="2" s="1"/>
  <c r="E119" i="3"/>
  <c r="G119" i="3" s="1"/>
  <c r="D119" i="2" s="1"/>
  <c r="E120" i="3"/>
  <c r="G120" i="3" s="1"/>
  <c r="D120" i="2" s="1"/>
  <c r="E121" i="3"/>
  <c r="G121" i="3" s="1"/>
  <c r="D121" i="2" s="1"/>
  <c r="E122" i="3"/>
  <c r="G122" i="3" s="1"/>
  <c r="D122" i="2" s="1"/>
  <c r="E123" i="3"/>
  <c r="G123" i="3" s="1"/>
  <c r="D123" i="2" s="1"/>
  <c r="E124" i="3"/>
  <c r="G124" i="3" s="1"/>
  <c r="D124" i="2" s="1"/>
  <c r="E125" i="3"/>
  <c r="G125" i="3" s="1"/>
  <c r="D125" i="2" s="1"/>
  <c r="E126" i="3"/>
  <c r="G126" i="3" s="1"/>
  <c r="D126" i="2" s="1"/>
  <c r="E127" i="3"/>
  <c r="G127" i="3" s="1"/>
  <c r="D127" i="2" s="1"/>
  <c r="E128" i="3"/>
  <c r="G128" i="3" s="1"/>
  <c r="D128" i="2" s="1"/>
  <c r="E129" i="3"/>
  <c r="E130" i="3"/>
  <c r="E131" i="3"/>
  <c r="E132" i="3"/>
  <c r="E133" i="3"/>
  <c r="D133" i="2" s="1"/>
  <c r="E134" i="3"/>
  <c r="D134" i="2" s="1"/>
  <c r="E135" i="3"/>
  <c r="D135" i="2" s="1"/>
  <c r="E136" i="3"/>
  <c r="D136" i="2" s="1"/>
  <c r="E137" i="3"/>
  <c r="D137" i="2" s="1"/>
  <c r="E138" i="3"/>
  <c r="D138" i="2" s="1"/>
  <c r="E139" i="3"/>
  <c r="E140" i="3"/>
  <c r="E141" i="3"/>
  <c r="E142" i="3"/>
  <c r="G130" i="3" l="1"/>
  <c r="D130" i="2" s="1"/>
  <c r="G129" i="3"/>
  <c r="D129" i="2" s="1"/>
  <c r="G131" i="3"/>
  <c r="D131" i="2" s="1"/>
  <c r="G132" i="3"/>
  <c r="D132" i="2" s="1"/>
  <c r="D45" i="2"/>
  <c r="B41" i="2"/>
  <c r="B42" i="2"/>
  <c r="B43" i="2"/>
  <c r="B44" i="2"/>
  <c r="B4" i="2"/>
  <c r="B5" i="2"/>
  <c r="B6" i="2"/>
  <c r="B7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3" i="2"/>
  <c r="B42" i="4"/>
  <c r="AO3" i="4" s="1"/>
  <c r="B43" i="4"/>
  <c r="AP3" i="4" s="1"/>
  <c r="B44" i="4"/>
  <c r="AQ3" i="4" s="1"/>
  <c r="B45" i="4"/>
  <c r="AR3" i="4" s="1"/>
  <c r="B41" i="4"/>
  <c r="AN3" i="4" s="1"/>
  <c r="C2" i="4"/>
  <c r="B40" i="4"/>
  <c r="AM3" i="4" s="1"/>
  <c r="B39" i="4"/>
  <c r="AL3" i="4" s="1"/>
  <c r="B38" i="4"/>
  <c r="AK3" i="4" s="1"/>
  <c r="B37" i="4"/>
  <c r="AJ3" i="4" s="1"/>
  <c r="B36" i="4"/>
  <c r="AI3" i="4" s="1"/>
  <c r="B25" i="4"/>
  <c r="X3" i="4" s="1"/>
  <c r="E3" i="3"/>
  <c r="B4" i="4" l="1"/>
  <c r="B17" i="4"/>
  <c r="P3" i="4" s="1"/>
  <c r="B18" i="4"/>
  <c r="Q3" i="4" s="1"/>
  <c r="B19" i="4"/>
  <c r="R3" i="4" s="1"/>
  <c r="B20" i="4"/>
  <c r="S3" i="4" s="1"/>
  <c r="B21" i="4"/>
  <c r="T3" i="4" s="1"/>
  <c r="B22" i="4"/>
  <c r="U3" i="4" s="1"/>
  <c r="B23" i="4"/>
  <c r="V3" i="4" s="1"/>
  <c r="B24" i="4"/>
  <c r="W3" i="4" s="1"/>
  <c r="B26" i="4"/>
  <c r="Y3" i="4" s="1"/>
  <c r="B27" i="4"/>
  <c r="Z3" i="4" s="1"/>
  <c r="B28" i="4"/>
  <c r="AA3" i="4" s="1"/>
  <c r="B29" i="4"/>
  <c r="AB3" i="4" s="1"/>
  <c r="B30" i="4"/>
  <c r="AC3" i="4" s="1"/>
  <c r="B31" i="4"/>
  <c r="AD3" i="4" s="1"/>
  <c r="B32" i="4"/>
  <c r="AE3" i="4" s="1"/>
  <c r="B33" i="4"/>
  <c r="AF3" i="4" s="1"/>
  <c r="B34" i="4"/>
  <c r="AG3" i="4" s="1"/>
  <c r="B35" i="4"/>
  <c r="AH3" i="4" s="1"/>
  <c r="D3" i="2"/>
  <c r="B12" i="4" l="1"/>
  <c r="K3" i="4" s="1"/>
  <c r="B11" i="4"/>
  <c r="J3" i="4" s="1"/>
  <c r="B10" i="4"/>
  <c r="I3" i="4" s="1"/>
  <c r="B9" i="4"/>
  <c r="H3" i="4" s="1"/>
  <c r="B7" i="4"/>
  <c r="F3" i="4" s="1"/>
  <c r="B6" i="4"/>
  <c r="E3" i="4" s="1"/>
  <c r="B5" i="4"/>
  <c r="D3" i="4" s="1"/>
  <c r="D4" i="2"/>
  <c r="D5" i="2"/>
  <c r="D6" i="2"/>
  <c r="B8" i="4"/>
  <c r="G3" i="4" s="1"/>
  <c r="D7" i="2"/>
  <c r="C3" i="4"/>
  <c r="C4" i="4" s="1"/>
  <c r="D6" i="4" l="1"/>
  <c r="B13" i="4"/>
  <c r="L3" i="4" s="1"/>
  <c r="C5" i="4"/>
  <c r="C7" i="4"/>
  <c r="C6" i="4"/>
  <c r="E48" i="4"/>
  <c r="C47" i="4"/>
  <c r="C49" i="4"/>
  <c r="C51" i="4"/>
  <c r="C52" i="4"/>
  <c r="C48" i="4"/>
  <c r="C50" i="4"/>
  <c r="D7" i="4"/>
  <c r="D50" i="4"/>
  <c r="D49" i="4"/>
  <c r="D47" i="4"/>
  <c r="D52" i="4"/>
  <c r="D51" i="4"/>
  <c r="D48" i="4"/>
  <c r="D4" i="4"/>
  <c r="D8" i="4"/>
  <c r="C8" i="4"/>
  <c r="E8" i="4"/>
  <c r="D5" i="4"/>
  <c r="E50" i="4"/>
  <c r="E49" i="4"/>
  <c r="E47" i="4"/>
  <c r="E52" i="4"/>
  <c r="E51" i="4"/>
  <c r="D8" i="2"/>
  <c r="B14" i="4" l="1"/>
  <c r="M3" i="4" s="1"/>
  <c r="E4" i="4"/>
  <c r="E5" i="4"/>
  <c r="E6" i="4"/>
  <c r="E7" i="4"/>
  <c r="C9" i="4"/>
  <c r="D9" i="4"/>
  <c r="F9" i="4"/>
  <c r="E9" i="4"/>
  <c r="D9" i="2"/>
  <c r="B15" i="4" l="1"/>
  <c r="N3" i="4" s="1"/>
  <c r="F5" i="4"/>
  <c r="F4" i="4"/>
  <c r="F7" i="4"/>
  <c r="F51" i="4"/>
  <c r="F47" i="4"/>
  <c r="F8" i="4"/>
  <c r="F6" i="4"/>
  <c r="F48" i="4"/>
  <c r="F52" i="4"/>
  <c r="F50" i="4"/>
  <c r="F49" i="4"/>
  <c r="G10" i="4"/>
  <c r="D10" i="4"/>
  <c r="F10" i="4"/>
  <c r="E10" i="4"/>
  <c r="C10" i="4"/>
  <c r="D10" i="2"/>
  <c r="B16" i="4" l="1"/>
  <c r="O3" i="4" s="1"/>
  <c r="H9" i="4"/>
  <c r="H52" i="4"/>
  <c r="H50" i="4"/>
  <c r="H47" i="4"/>
  <c r="H49" i="4"/>
  <c r="H51" i="4"/>
  <c r="H4" i="4"/>
  <c r="H6" i="4"/>
  <c r="H7" i="4"/>
  <c r="H5" i="4"/>
  <c r="H8" i="4"/>
  <c r="H10" i="4"/>
  <c r="H48" i="4"/>
  <c r="G8" i="4"/>
  <c r="G9" i="4"/>
  <c r="G50" i="4"/>
  <c r="G51" i="4"/>
  <c r="G49" i="4"/>
  <c r="G52" i="4"/>
  <c r="G47" i="4"/>
  <c r="G48" i="4"/>
  <c r="G4" i="4"/>
  <c r="G6" i="4"/>
  <c r="G5" i="4"/>
  <c r="G7" i="4"/>
  <c r="G11" i="4"/>
  <c r="F11" i="4"/>
  <c r="D11" i="4"/>
  <c r="E11" i="4"/>
  <c r="H11" i="4"/>
  <c r="C11" i="4"/>
  <c r="D11" i="2"/>
  <c r="E12" i="4" l="1"/>
  <c r="D12" i="4"/>
  <c r="C12" i="4"/>
  <c r="I12" i="4"/>
  <c r="H12" i="4"/>
  <c r="G12" i="4"/>
  <c r="F12" i="4"/>
  <c r="D12" i="2"/>
  <c r="I10" i="4" l="1"/>
  <c r="I11" i="4"/>
  <c r="I51" i="4"/>
  <c r="I52" i="4"/>
  <c r="I47" i="4"/>
  <c r="I50" i="4"/>
  <c r="I48" i="4"/>
  <c r="I49" i="4"/>
  <c r="I4" i="4"/>
  <c r="I6" i="4"/>
  <c r="I5" i="4"/>
  <c r="I7" i="4"/>
  <c r="I8" i="4"/>
  <c r="I9" i="4"/>
  <c r="E13" i="4"/>
  <c r="D13" i="4"/>
  <c r="H13" i="4"/>
  <c r="F13" i="4"/>
  <c r="G13" i="4"/>
  <c r="C13" i="4"/>
  <c r="I13" i="4"/>
  <c r="J13" i="4"/>
  <c r="D13" i="2"/>
  <c r="J47" i="4" l="1"/>
  <c r="J51" i="4"/>
  <c r="J50" i="4"/>
  <c r="J52" i="4"/>
  <c r="J48" i="4"/>
  <c r="J49" i="4"/>
  <c r="J4" i="4"/>
  <c r="J7" i="4"/>
  <c r="J5" i="4"/>
  <c r="J6" i="4"/>
  <c r="J8" i="4"/>
  <c r="J9" i="4"/>
  <c r="J10" i="4"/>
  <c r="J11" i="4"/>
  <c r="J12" i="4"/>
  <c r="H14" i="4"/>
  <c r="I14" i="4"/>
  <c r="F14" i="4"/>
  <c r="G14" i="4"/>
  <c r="C14" i="4"/>
  <c r="D14" i="4"/>
  <c r="E14" i="4"/>
  <c r="K14" i="4"/>
  <c r="J14" i="4"/>
  <c r="D14" i="2"/>
  <c r="K12" i="4" l="1"/>
  <c r="K10" i="4"/>
  <c r="K11" i="4"/>
  <c r="K13" i="4"/>
  <c r="K49" i="4"/>
  <c r="K47" i="4"/>
  <c r="K51" i="4"/>
  <c r="K48" i="4"/>
  <c r="K52" i="4"/>
  <c r="K50" i="4"/>
  <c r="K4" i="4"/>
  <c r="K6" i="4"/>
  <c r="K5" i="4"/>
  <c r="K9" i="4"/>
  <c r="K7" i="4"/>
  <c r="K8" i="4"/>
  <c r="L15" i="4"/>
  <c r="F15" i="4"/>
  <c r="H15" i="4"/>
  <c r="D15" i="4"/>
  <c r="K15" i="4"/>
  <c r="I15" i="4"/>
  <c r="G15" i="4"/>
  <c r="C15" i="4"/>
  <c r="E15" i="4"/>
  <c r="J15" i="4"/>
  <c r="D15" i="2"/>
  <c r="L13" i="4" l="1"/>
  <c r="L9" i="4"/>
  <c r="L10" i="4"/>
  <c r="L11" i="4"/>
  <c r="L12" i="4"/>
  <c r="L14" i="4"/>
  <c r="L50" i="4"/>
  <c r="L52" i="4"/>
  <c r="L51" i="4"/>
  <c r="L48" i="4"/>
  <c r="L49" i="4"/>
  <c r="L47" i="4"/>
  <c r="L4" i="4"/>
  <c r="L6" i="4"/>
  <c r="L7" i="4"/>
  <c r="L5" i="4"/>
  <c r="L8" i="4"/>
  <c r="M16" i="4"/>
  <c r="E16" i="4"/>
  <c r="D16" i="4"/>
  <c r="H16" i="4"/>
  <c r="L16" i="4"/>
  <c r="G16" i="4"/>
  <c r="K16" i="4"/>
  <c r="C16" i="4"/>
  <c r="J16" i="4"/>
  <c r="F16" i="4"/>
  <c r="I16" i="4"/>
  <c r="D16" i="2"/>
  <c r="N6" i="4" l="1"/>
  <c r="N8" i="4"/>
  <c r="N9" i="4"/>
  <c r="N10" i="4"/>
  <c r="N11" i="4"/>
  <c r="N12" i="4"/>
  <c r="N13" i="4"/>
  <c r="N14" i="4"/>
  <c r="N47" i="4"/>
  <c r="N16" i="4"/>
  <c r="N49" i="4"/>
  <c r="N52" i="4"/>
  <c r="N50" i="4"/>
  <c r="N48" i="4"/>
  <c r="N51" i="4"/>
  <c r="N15" i="4"/>
  <c r="N4" i="4"/>
  <c r="N7" i="4"/>
  <c r="N5" i="4"/>
  <c r="M14" i="4"/>
  <c r="M7" i="4"/>
  <c r="M8" i="4"/>
  <c r="M9" i="4"/>
  <c r="M10" i="4"/>
  <c r="M11" i="4"/>
  <c r="M12" i="4"/>
  <c r="M13" i="4"/>
  <c r="M52" i="4"/>
  <c r="M48" i="4"/>
  <c r="M15" i="4"/>
  <c r="M47" i="4"/>
  <c r="M51" i="4"/>
  <c r="M50" i="4"/>
  <c r="M49" i="4"/>
  <c r="M4" i="4"/>
  <c r="M5" i="4"/>
  <c r="M6" i="4"/>
  <c r="J17" i="4"/>
  <c r="G17" i="4"/>
  <c r="L17" i="4"/>
  <c r="E17" i="4"/>
  <c r="H17" i="4"/>
  <c r="D17" i="4"/>
  <c r="I17" i="4"/>
  <c r="C17" i="4"/>
  <c r="N17" i="4"/>
  <c r="M17" i="4"/>
  <c r="K17" i="4"/>
  <c r="F17" i="4"/>
  <c r="D40" i="2"/>
  <c r="D17" i="2"/>
  <c r="O18" i="4" l="1"/>
  <c r="D41" i="4"/>
  <c r="J41" i="4"/>
  <c r="I41" i="4"/>
  <c r="E41" i="4"/>
  <c r="M41" i="4"/>
  <c r="F41" i="4"/>
  <c r="C41" i="4"/>
  <c r="G41" i="4"/>
  <c r="N41" i="4"/>
  <c r="H41" i="4"/>
  <c r="K41" i="4"/>
  <c r="L41" i="4"/>
  <c r="J18" i="4"/>
  <c r="E18" i="4"/>
  <c r="D18" i="4"/>
  <c r="C18" i="4"/>
  <c r="G18" i="4"/>
  <c r="I18" i="4"/>
  <c r="F18" i="4"/>
  <c r="K18" i="4"/>
  <c r="N18" i="4"/>
  <c r="M18" i="4"/>
  <c r="H18" i="4"/>
  <c r="L18" i="4"/>
  <c r="D41" i="2"/>
  <c r="D18" i="2"/>
  <c r="O41" i="4" l="1"/>
  <c r="P17" i="4"/>
  <c r="P6" i="4"/>
  <c r="P7" i="4"/>
  <c r="P18" i="4"/>
  <c r="P5" i="4"/>
  <c r="P41" i="4"/>
  <c r="P8" i="4"/>
  <c r="P9" i="4"/>
  <c r="P10" i="4"/>
  <c r="P11" i="4"/>
  <c r="P12" i="4"/>
  <c r="P13" i="4"/>
  <c r="P14" i="4"/>
  <c r="P15" i="4"/>
  <c r="P16" i="4"/>
  <c r="P4" i="4"/>
  <c r="P50" i="4"/>
  <c r="P48" i="4"/>
  <c r="P51" i="4"/>
  <c r="P47" i="4"/>
  <c r="P52" i="4"/>
  <c r="P49" i="4"/>
  <c r="O16" i="4"/>
  <c r="O8" i="4"/>
  <c r="O9" i="4"/>
  <c r="O10" i="4"/>
  <c r="O17" i="4"/>
  <c r="O11" i="4"/>
  <c r="O12" i="4"/>
  <c r="O13" i="4"/>
  <c r="O14" i="4"/>
  <c r="O15" i="4"/>
  <c r="O51" i="4"/>
  <c r="O50" i="4"/>
  <c r="O47" i="4"/>
  <c r="O49" i="4"/>
  <c r="O48" i="4"/>
  <c r="O52" i="4"/>
  <c r="O4" i="4"/>
  <c r="O5" i="4"/>
  <c r="O6" i="4"/>
  <c r="O7" i="4"/>
  <c r="L42" i="4"/>
  <c r="P42" i="4"/>
  <c r="M42" i="4"/>
  <c r="I42" i="4"/>
  <c r="F42" i="4"/>
  <c r="H42" i="4"/>
  <c r="G42" i="4"/>
  <c r="K42" i="4"/>
  <c r="J42" i="4"/>
  <c r="O42" i="4"/>
  <c r="N42" i="4"/>
  <c r="E42" i="4"/>
  <c r="C42" i="4"/>
  <c r="D42" i="4"/>
  <c r="O19" i="4"/>
  <c r="E19" i="4"/>
  <c r="C19" i="4"/>
  <c r="N19" i="4"/>
  <c r="L19" i="4"/>
  <c r="J19" i="4"/>
  <c r="D19" i="4"/>
  <c r="K19" i="4"/>
  <c r="H19" i="4"/>
  <c r="I19" i="4"/>
  <c r="P19" i="4"/>
  <c r="M19" i="4"/>
  <c r="G19" i="4"/>
  <c r="F19" i="4"/>
  <c r="D42" i="2"/>
  <c r="D19" i="2"/>
  <c r="P20" i="4" l="1"/>
  <c r="L20" i="4"/>
  <c r="I20" i="4"/>
  <c r="O20" i="4"/>
  <c r="J20" i="4"/>
  <c r="C20" i="4"/>
  <c r="F20" i="4"/>
  <c r="D20" i="4"/>
  <c r="E20" i="4"/>
  <c r="K20" i="4"/>
  <c r="G20" i="4"/>
  <c r="M20" i="4"/>
  <c r="Q20" i="4"/>
  <c r="N20" i="4"/>
  <c r="H20" i="4"/>
  <c r="C43" i="4"/>
  <c r="N43" i="4"/>
  <c r="F43" i="4"/>
  <c r="G43" i="4"/>
  <c r="E43" i="4"/>
  <c r="Q43" i="4"/>
  <c r="I43" i="4"/>
  <c r="K43" i="4"/>
  <c r="J43" i="4"/>
  <c r="O43" i="4"/>
  <c r="L43" i="4"/>
  <c r="H43" i="4"/>
  <c r="P43" i="4"/>
  <c r="D43" i="4"/>
  <c r="M43" i="4"/>
  <c r="D43" i="2"/>
  <c r="D20" i="2"/>
  <c r="R19" i="4" l="1"/>
  <c r="R8" i="4"/>
  <c r="R9" i="4"/>
  <c r="R10" i="4"/>
  <c r="R11" i="4"/>
  <c r="R12" i="4"/>
  <c r="R42" i="4"/>
  <c r="R13" i="4"/>
  <c r="R14" i="4"/>
  <c r="R15" i="4"/>
  <c r="R16" i="4"/>
  <c r="R17" i="4"/>
  <c r="R18" i="4"/>
  <c r="R41" i="4"/>
  <c r="R43" i="4"/>
  <c r="R51" i="4"/>
  <c r="R52" i="4"/>
  <c r="R48" i="4"/>
  <c r="R20" i="4"/>
  <c r="R49" i="4"/>
  <c r="R50" i="4"/>
  <c r="R47" i="4"/>
  <c r="R4" i="4"/>
  <c r="R6" i="4"/>
  <c r="R7" i="4"/>
  <c r="R5" i="4"/>
  <c r="Q18" i="4"/>
  <c r="Q17" i="4"/>
  <c r="Q42" i="4"/>
  <c r="Q41" i="4"/>
  <c r="Q19" i="4"/>
  <c r="Q49" i="4"/>
  <c r="Q51" i="4"/>
  <c r="Q48" i="4"/>
  <c r="Q47" i="4"/>
  <c r="Q50" i="4"/>
  <c r="Q52" i="4"/>
  <c r="Q4" i="4"/>
  <c r="Q7" i="4"/>
  <c r="Q5" i="4"/>
  <c r="Q6" i="4"/>
  <c r="Q8" i="4"/>
  <c r="Q9" i="4"/>
  <c r="Q10" i="4"/>
  <c r="Q11" i="4"/>
  <c r="Q12" i="4"/>
  <c r="Q13" i="4"/>
  <c r="Q14" i="4"/>
  <c r="Q15" i="4"/>
  <c r="Q16" i="4"/>
  <c r="G21" i="4"/>
  <c r="J21" i="4"/>
  <c r="F21" i="4"/>
  <c r="K21" i="4"/>
  <c r="R21" i="4"/>
  <c r="N21" i="4"/>
  <c r="P21" i="4"/>
  <c r="L21" i="4"/>
  <c r="C21" i="4"/>
  <c r="D21" i="4"/>
  <c r="I21" i="4"/>
  <c r="Q21" i="4"/>
  <c r="H21" i="4"/>
  <c r="E21" i="4"/>
  <c r="M21" i="4"/>
  <c r="O21" i="4"/>
  <c r="P44" i="4"/>
  <c r="H44" i="4"/>
  <c r="E44" i="4"/>
  <c r="D44" i="4"/>
  <c r="N44" i="4"/>
  <c r="I44" i="4"/>
  <c r="C44" i="4"/>
  <c r="R44" i="4"/>
  <c r="M44" i="4"/>
  <c r="Q44" i="4"/>
  <c r="J44" i="4"/>
  <c r="L44" i="4"/>
  <c r="O44" i="4"/>
  <c r="G44" i="4"/>
  <c r="K44" i="4"/>
  <c r="F44" i="4"/>
  <c r="D44" i="2"/>
  <c r="D21" i="2"/>
  <c r="S45" i="4" l="1"/>
  <c r="G45" i="4"/>
  <c r="N45" i="4"/>
  <c r="P45" i="4"/>
  <c r="J45" i="4"/>
  <c r="M45" i="4"/>
  <c r="C45" i="4"/>
  <c r="L45" i="4"/>
  <c r="O45" i="4"/>
  <c r="K45" i="4"/>
  <c r="Q45" i="4"/>
  <c r="I45" i="4"/>
  <c r="D45" i="4"/>
  <c r="R45" i="4"/>
  <c r="H45" i="4"/>
  <c r="F45" i="4"/>
  <c r="E45" i="4"/>
  <c r="E22" i="4"/>
  <c r="D22" i="4"/>
  <c r="I22" i="4"/>
  <c r="C22" i="4"/>
  <c r="J22" i="4"/>
  <c r="O22" i="4"/>
  <c r="N22" i="4"/>
  <c r="K22" i="4"/>
  <c r="H22" i="4"/>
  <c r="P22" i="4"/>
  <c r="G22" i="4"/>
  <c r="F22" i="4"/>
  <c r="Q22" i="4"/>
  <c r="R22" i="4"/>
  <c r="L22" i="4"/>
  <c r="M22" i="4"/>
  <c r="D22" i="2"/>
  <c r="S22" i="4" l="1"/>
  <c r="T46" i="4"/>
  <c r="S43" i="4"/>
  <c r="S6" i="4"/>
  <c r="S21" i="4"/>
  <c r="S5" i="4"/>
  <c r="S7" i="4"/>
  <c r="S8" i="4"/>
  <c r="S9" i="4"/>
  <c r="S10" i="4"/>
  <c r="S11" i="4"/>
  <c r="S12" i="4"/>
  <c r="S13" i="4"/>
  <c r="S14" i="4"/>
  <c r="S15" i="4"/>
  <c r="S16" i="4"/>
  <c r="S17" i="4"/>
  <c r="S41" i="4"/>
  <c r="S18" i="4"/>
  <c r="S19" i="4"/>
  <c r="S42" i="4"/>
  <c r="S52" i="4"/>
  <c r="S48" i="4"/>
  <c r="S47" i="4"/>
  <c r="S20" i="4"/>
  <c r="S49" i="4"/>
  <c r="S44" i="4"/>
  <c r="S50" i="4"/>
  <c r="S51" i="4"/>
  <c r="S4" i="4"/>
  <c r="D23" i="4"/>
  <c r="P23" i="4"/>
  <c r="O23" i="4"/>
  <c r="S23" i="4"/>
  <c r="L23" i="4"/>
  <c r="C23" i="4"/>
  <c r="I23" i="4"/>
  <c r="F23" i="4"/>
  <c r="H23" i="4"/>
  <c r="N23" i="4"/>
  <c r="G23" i="4"/>
  <c r="M23" i="4"/>
  <c r="Q23" i="4"/>
  <c r="R23" i="4"/>
  <c r="K23" i="4"/>
  <c r="E23" i="4"/>
  <c r="J23" i="4"/>
  <c r="P46" i="4"/>
  <c r="O46" i="4"/>
  <c r="N46" i="4"/>
  <c r="M46" i="4"/>
  <c r="L46" i="4"/>
  <c r="J46" i="4"/>
  <c r="K46" i="4"/>
  <c r="G46" i="4"/>
  <c r="F46" i="4"/>
  <c r="E46" i="4"/>
  <c r="C46" i="4"/>
  <c r="S46" i="4"/>
  <c r="R46" i="4"/>
  <c r="Q46" i="4"/>
  <c r="I46" i="4"/>
  <c r="H46" i="4"/>
  <c r="D46" i="4"/>
  <c r="D23" i="2"/>
  <c r="T23" i="4" l="1"/>
  <c r="T44" i="4"/>
  <c r="T42" i="4"/>
  <c r="T45" i="4"/>
  <c r="T43" i="4"/>
  <c r="T20" i="4"/>
  <c r="T52" i="4"/>
  <c r="T22" i="4"/>
  <c r="T50" i="4"/>
  <c r="T21" i="4"/>
  <c r="T48" i="4"/>
  <c r="T47" i="4"/>
  <c r="T49" i="4"/>
  <c r="T51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41" i="4"/>
  <c r="T19" i="4"/>
  <c r="U24" i="4"/>
  <c r="I24" i="4"/>
  <c r="H24" i="4"/>
  <c r="F24" i="4"/>
  <c r="M24" i="4"/>
  <c r="O24" i="4"/>
  <c r="K24" i="4"/>
  <c r="R24" i="4"/>
  <c r="J24" i="4"/>
  <c r="L24" i="4"/>
  <c r="C24" i="4"/>
  <c r="Q24" i="4"/>
  <c r="S24" i="4"/>
  <c r="P24" i="4"/>
  <c r="D24" i="4"/>
  <c r="G24" i="4"/>
  <c r="T24" i="4"/>
  <c r="E24" i="4"/>
  <c r="N24" i="4"/>
  <c r="D24" i="2"/>
  <c r="U45" i="4" l="1"/>
  <c r="U16" i="4"/>
  <c r="U23" i="4"/>
  <c r="U46" i="4"/>
  <c r="U17" i="4"/>
  <c r="U18" i="4"/>
  <c r="U42" i="4"/>
  <c r="U19" i="4"/>
  <c r="U43" i="4"/>
  <c r="U20" i="4"/>
  <c r="U44" i="4"/>
  <c r="U22" i="4"/>
  <c r="U21" i="4"/>
  <c r="U41" i="4"/>
  <c r="U52" i="4"/>
  <c r="U50" i="4"/>
  <c r="U51" i="4"/>
  <c r="U48" i="4"/>
  <c r="U49" i="4"/>
  <c r="U47" i="4"/>
  <c r="U4" i="4"/>
  <c r="U7" i="4"/>
  <c r="U5" i="4"/>
  <c r="U6" i="4"/>
  <c r="U8" i="4"/>
  <c r="U9" i="4"/>
  <c r="U10" i="4"/>
  <c r="U11" i="4"/>
  <c r="U12" i="4"/>
  <c r="U13" i="4"/>
  <c r="U14" i="4"/>
  <c r="U15" i="4"/>
  <c r="E25" i="4"/>
  <c r="S25" i="4"/>
  <c r="D25" i="4"/>
  <c r="N25" i="4"/>
  <c r="G25" i="4"/>
  <c r="F25" i="4"/>
  <c r="P25" i="4"/>
  <c r="U25" i="4"/>
  <c r="C25" i="4"/>
  <c r="I25" i="4"/>
  <c r="O25" i="4"/>
  <c r="T25" i="4"/>
  <c r="M25" i="4"/>
  <c r="K25" i="4"/>
  <c r="H25" i="4"/>
  <c r="Q25" i="4"/>
  <c r="L25" i="4"/>
  <c r="R25" i="4"/>
  <c r="J25" i="4"/>
  <c r="D25" i="2"/>
  <c r="W48" i="4" l="1"/>
  <c r="W4" i="4"/>
  <c r="W6" i="4"/>
  <c r="W5" i="4"/>
  <c r="W7" i="4"/>
  <c r="W8" i="4"/>
  <c r="W9" i="4"/>
  <c r="W10" i="4"/>
  <c r="W11" i="4"/>
  <c r="W12" i="4"/>
  <c r="W13" i="4"/>
  <c r="W14" i="4"/>
  <c r="W15" i="4"/>
  <c r="W16" i="4"/>
  <c r="W17" i="4"/>
  <c r="W41" i="4"/>
  <c r="W18" i="4"/>
  <c r="W19" i="4"/>
  <c r="W42" i="4"/>
  <c r="W43" i="4"/>
  <c r="W20" i="4"/>
  <c r="W46" i="4"/>
  <c r="W21" i="4"/>
  <c r="W44" i="4"/>
  <c r="W25" i="4"/>
  <c r="W49" i="4"/>
  <c r="W22" i="4"/>
  <c r="W52" i="4"/>
  <c r="W45" i="4"/>
  <c r="W50" i="4"/>
  <c r="W47" i="4"/>
  <c r="W23" i="4"/>
  <c r="W51" i="4"/>
  <c r="W24" i="4"/>
  <c r="V23" i="4"/>
  <c r="V46" i="4"/>
  <c r="V14" i="4"/>
  <c r="V15" i="4"/>
  <c r="V16" i="4"/>
  <c r="V17" i="4"/>
  <c r="V18" i="4"/>
  <c r="V41" i="4"/>
  <c r="V19" i="4"/>
  <c r="V42" i="4"/>
  <c r="V43" i="4"/>
  <c r="V20" i="4"/>
  <c r="V21" i="4"/>
  <c r="V44" i="4"/>
  <c r="V49" i="4"/>
  <c r="V45" i="4"/>
  <c r="V50" i="4"/>
  <c r="V22" i="4"/>
  <c r="V48" i="4"/>
  <c r="V51" i="4"/>
  <c r="V47" i="4"/>
  <c r="V52" i="4"/>
  <c r="V4" i="4"/>
  <c r="V6" i="4"/>
  <c r="V7" i="4"/>
  <c r="V5" i="4"/>
  <c r="V24" i="4"/>
  <c r="V8" i="4"/>
  <c r="V9" i="4"/>
  <c r="V10" i="4"/>
  <c r="V11" i="4"/>
  <c r="V12" i="4"/>
  <c r="V13" i="4"/>
  <c r="V25" i="4"/>
  <c r="F26" i="4"/>
  <c r="E26" i="4"/>
  <c r="D26" i="4"/>
  <c r="U26" i="4"/>
  <c r="T26" i="4"/>
  <c r="M26" i="4"/>
  <c r="P26" i="4"/>
  <c r="Q26" i="4"/>
  <c r="S26" i="4"/>
  <c r="H26" i="4"/>
  <c r="R26" i="4"/>
  <c r="C26" i="4"/>
  <c r="L26" i="4"/>
  <c r="N26" i="4"/>
  <c r="W26" i="4"/>
  <c r="I26" i="4"/>
  <c r="J26" i="4"/>
  <c r="K26" i="4"/>
  <c r="V26" i="4"/>
  <c r="O26" i="4"/>
  <c r="G26" i="4"/>
  <c r="D26" i="2"/>
  <c r="P27" i="4" l="1"/>
  <c r="O27" i="4"/>
  <c r="J27" i="4"/>
  <c r="E27" i="4"/>
  <c r="F27" i="4"/>
  <c r="D27" i="4"/>
  <c r="C27" i="4"/>
  <c r="K27" i="4"/>
  <c r="N27" i="4"/>
  <c r="T27" i="4"/>
  <c r="R27" i="4"/>
  <c r="M27" i="4"/>
  <c r="L27" i="4"/>
  <c r="X27" i="4"/>
  <c r="U27" i="4"/>
  <c r="Q27" i="4"/>
  <c r="H27" i="4"/>
  <c r="W27" i="4"/>
  <c r="V27" i="4"/>
  <c r="G27" i="4"/>
  <c r="S27" i="4"/>
  <c r="I27" i="4"/>
  <c r="D27" i="2"/>
  <c r="X25" i="4" l="1"/>
  <c r="X18" i="4"/>
  <c r="X41" i="4"/>
  <c r="X19" i="4"/>
  <c r="X42" i="4"/>
  <c r="X43" i="4"/>
  <c r="X20" i="4"/>
  <c r="X21" i="4"/>
  <c r="X44" i="4"/>
  <c r="X45" i="4"/>
  <c r="X52" i="4"/>
  <c r="X22" i="4"/>
  <c r="X49" i="4"/>
  <c r="X46" i="4"/>
  <c r="X48" i="4"/>
  <c r="X23" i="4"/>
  <c r="X47" i="4"/>
  <c r="X24" i="4"/>
  <c r="X51" i="4"/>
  <c r="X50" i="4"/>
  <c r="X4" i="4"/>
  <c r="X5" i="4"/>
  <c r="X7" i="4"/>
  <c r="X6" i="4"/>
  <c r="X8" i="4"/>
  <c r="X9" i="4"/>
  <c r="X10" i="4"/>
  <c r="X11" i="4"/>
  <c r="X12" i="4"/>
  <c r="X26" i="4"/>
  <c r="X13" i="4"/>
  <c r="X14" i="4"/>
  <c r="X15" i="4"/>
  <c r="X16" i="4"/>
  <c r="X17" i="4"/>
  <c r="T28" i="4"/>
  <c r="U28" i="4"/>
  <c r="P28" i="4"/>
  <c r="Y28" i="4"/>
  <c r="L28" i="4"/>
  <c r="O28" i="4"/>
  <c r="I28" i="4"/>
  <c r="E28" i="4"/>
  <c r="Q28" i="4"/>
  <c r="M28" i="4"/>
  <c r="G28" i="4"/>
  <c r="J28" i="4"/>
  <c r="V28" i="4"/>
  <c r="X28" i="4"/>
  <c r="C28" i="4"/>
  <c r="S28" i="4"/>
  <c r="D28" i="4"/>
  <c r="R28" i="4"/>
  <c r="N28" i="4"/>
  <c r="F28" i="4"/>
  <c r="H28" i="4"/>
  <c r="K28" i="4"/>
  <c r="W28" i="4"/>
  <c r="D28" i="2"/>
  <c r="Z27" i="4" l="1"/>
  <c r="Z12" i="4"/>
  <c r="Z14" i="4"/>
  <c r="Z15" i="4"/>
  <c r="Z16" i="4"/>
  <c r="Z17" i="4"/>
  <c r="Z18" i="4"/>
  <c r="Z41" i="4"/>
  <c r="Z42" i="4"/>
  <c r="Z28" i="4"/>
  <c r="Z19" i="4"/>
  <c r="Z43" i="4"/>
  <c r="Z20" i="4"/>
  <c r="Z21" i="4"/>
  <c r="Z44" i="4"/>
  <c r="Z13" i="4"/>
  <c r="Z45" i="4"/>
  <c r="Z47" i="4"/>
  <c r="Z22" i="4"/>
  <c r="Z51" i="4"/>
  <c r="Z23" i="4"/>
  <c r="Z52" i="4"/>
  <c r="Z46" i="4"/>
  <c r="Z49" i="4"/>
  <c r="Z24" i="4"/>
  <c r="Z48" i="4"/>
  <c r="Z25" i="4"/>
  <c r="Z50" i="4"/>
  <c r="Z26" i="4"/>
  <c r="Z4" i="4"/>
  <c r="Z5" i="4"/>
  <c r="Z7" i="4"/>
  <c r="Z6" i="4"/>
  <c r="Z8" i="4"/>
  <c r="Z9" i="4"/>
  <c r="Z10" i="4"/>
  <c r="Z11" i="4"/>
  <c r="Y26" i="4"/>
  <c r="Y50" i="4"/>
  <c r="Y24" i="4"/>
  <c r="Y49" i="4"/>
  <c r="Y25" i="4"/>
  <c r="Y4" i="4"/>
  <c r="Y6" i="4"/>
  <c r="Y5" i="4"/>
  <c r="Y7" i="4"/>
  <c r="Y8" i="4"/>
  <c r="Y9" i="4"/>
  <c r="Y10" i="4"/>
  <c r="Y11" i="4"/>
  <c r="Y12" i="4"/>
  <c r="Y13" i="4"/>
  <c r="Y14" i="4"/>
  <c r="Y15" i="4"/>
  <c r="Y16" i="4"/>
  <c r="Y17" i="4"/>
  <c r="Y41" i="4"/>
  <c r="Y18" i="4"/>
  <c r="Y20" i="4"/>
  <c r="Y42" i="4"/>
  <c r="Y19" i="4"/>
  <c r="Y43" i="4"/>
  <c r="Y27" i="4"/>
  <c r="Y21" i="4"/>
  <c r="Y44" i="4"/>
  <c r="Y47" i="4"/>
  <c r="Y22" i="4"/>
  <c r="Y48" i="4"/>
  <c r="Y45" i="4"/>
  <c r="Y52" i="4"/>
  <c r="Y23" i="4"/>
  <c r="Y51" i="4"/>
  <c r="Y46" i="4"/>
  <c r="O29" i="4"/>
  <c r="F29" i="4"/>
  <c r="X29" i="4"/>
  <c r="U29" i="4"/>
  <c r="D29" i="4"/>
  <c r="Q29" i="4"/>
  <c r="L29" i="4"/>
  <c r="E29" i="4"/>
  <c r="C29" i="4"/>
  <c r="N29" i="4"/>
  <c r="I29" i="4"/>
  <c r="P29" i="4"/>
  <c r="K29" i="4"/>
  <c r="H29" i="4"/>
  <c r="J29" i="4"/>
  <c r="Z29" i="4"/>
  <c r="Y29" i="4"/>
  <c r="M29" i="4"/>
  <c r="S29" i="4"/>
  <c r="G29" i="4"/>
  <c r="R29" i="4"/>
  <c r="T29" i="4"/>
  <c r="V29" i="4"/>
  <c r="W29" i="4"/>
  <c r="D29" i="2"/>
  <c r="E30" i="4" l="1"/>
  <c r="D30" i="4"/>
  <c r="M30" i="4"/>
  <c r="P30" i="4"/>
  <c r="Y30" i="4"/>
  <c r="C30" i="4"/>
  <c r="W30" i="4"/>
  <c r="Q30" i="4"/>
  <c r="J30" i="4"/>
  <c r="O30" i="4"/>
  <c r="N30" i="4"/>
  <c r="T30" i="4"/>
  <c r="I30" i="4"/>
  <c r="U30" i="4"/>
  <c r="Z30" i="4"/>
  <c r="R30" i="4"/>
  <c r="X30" i="4"/>
  <c r="F30" i="4"/>
  <c r="V30" i="4"/>
  <c r="G30" i="4"/>
  <c r="AA30" i="4"/>
  <c r="K30" i="4"/>
  <c r="S30" i="4"/>
  <c r="H30" i="4"/>
  <c r="L30" i="4"/>
  <c r="D30" i="2"/>
  <c r="AB29" i="4" l="1"/>
  <c r="AB14" i="4"/>
  <c r="AB15" i="4"/>
  <c r="AB16" i="4"/>
  <c r="AB17" i="4"/>
  <c r="AB18" i="4"/>
  <c r="AB30" i="4"/>
  <c r="AB41" i="4"/>
  <c r="AB42" i="4"/>
  <c r="AB19" i="4"/>
  <c r="AB20" i="4"/>
  <c r="AB43" i="4"/>
  <c r="AB44" i="4"/>
  <c r="AB21" i="4"/>
  <c r="AB50" i="4"/>
  <c r="AB45" i="4"/>
  <c r="AB51" i="4"/>
  <c r="AB22" i="4"/>
  <c r="AB47" i="4"/>
  <c r="AB23" i="4"/>
  <c r="AB52" i="4"/>
  <c r="AB46" i="4"/>
  <c r="AB48" i="4"/>
  <c r="AB24" i="4"/>
  <c r="AB49" i="4"/>
  <c r="AB25" i="4"/>
  <c r="AB4" i="4"/>
  <c r="AB26" i="4"/>
  <c r="AB5" i="4"/>
  <c r="AB27" i="4"/>
  <c r="AB6" i="4"/>
  <c r="AB28" i="4"/>
  <c r="AB7" i="4"/>
  <c r="AB8" i="4"/>
  <c r="AB9" i="4"/>
  <c r="AB10" i="4"/>
  <c r="AB11" i="4"/>
  <c r="AB12" i="4"/>
  <c r="AB13" i="4"/>
  <c r="AA28" i="4"/>
  <c r="AA48" i="4"/>
  <c r="AA23" i="4"/>
  <c r="AA49" i="4"/>
  <c r="AA46" i="4"/>
  <c r="AA52" i="4"/>
  <c r="AA24" i="4"/>
  <c r="AA50" i="4"/>
  <c r="AA25" i="4"/>
  <c r="AA4" i="4"/>
  <c r="AA26" i="4"/>
  <c r="AA7" i="4"/>
  <c r="AA27" i="4"/>
  <c r="AA6" i="4"/>
  <c r="AA5" i="4"/>
  <c r="AA8" i="4"/>
  <c r="AA9" i="4"/>
  <c r="AA10" i="4"/>
  <c r="AA11" i="4"/>
  <c r="AA12" i="4"/>
  <c r="AA13" i="4"/>
  <c r="AA14" i="4"/>
  <c r="AA15" i="4"/>
  <c r="AA16" i="4"/>
  <c r="AA17" i="4"/>
  <c r="AA41" i="4"/>
  <c r="AA18" i="4"/>
  <c r="AA42" i="4"/>
  <c r="AA29" i="4"/>
  <c r="AA19" i="4"/>
  <c r="AA43" i="4"/>
  <c r="AA20" i="4"/>
  <c r="AA21" i="4"/>
  <c r="AA44" i="4"/>
  <c r="AA47" i="4"/>
  <c r="AA45" i="4"/>
  <c r="AA51" i="4"/>
  <c r="AA22" i="4"/>
  <c r="J31" i="4"/>
  <c r="O31" i="4"/>
  <c r="M31" i="4"/>
  <c r="W31" i="4"/>
  <c r="T31" i="4"/>
  <c r="R31" i="4"/>
  <c r="Q31" i="4"/>
  <c r="S31" i="4"/>
  <c r="K31" i="4"/>
  <c r="I31" i="4"/>
  <c r="P31" i="4"/>
  <c r="C31" i="4"/>
  <c r="Z31" i="4"/>
  <c r="AA31" i="4"/>
  <c r="F31" i="4"/>
  <c r="V31" i="4"/>
  <c r="H31" i="4"/>
  <c r="N31" i="4"/>
  <c r="Y31" i="4"/>
  <c r="E31" i="4"/>
  <c r="X31" i="4"/>
  <c r="AB31" i="4"/>
  <c r="D31" i="4"/>
  <c r="U31" i="4"/>
  <c r="L31" i="4"/>
  <c r="G31" i="4"/>
  <c r="D31" i="2"/>
  <c r="U32" i="4" l="1"/>
  <c r="T32" i="4"/>
  <c r="O32" i="4"/>
  <c r="Y32" i="4"/>
  <c r="AC32" i="4"/>
  <c r="D32" i="4"/>
  <c r="R32" i="4"/>
  <c r="X32" i="4"/>
  <c r="C32" i="4"/>
  <c r="W32" i="4"/>
  <c r="N32" i="4"/>
  <c r="S32" i="4"/>
  <c r="K32" i="4"/>
  <c r="Z32" i="4"/>
  <c r="J32" i="4"/>
  <c r="V32" i="4"/>
  <c r="M32" i="4"/>
  <c r="E32" i="4"/>
  <c r="G32" i="4"/>
  <c r="I32" i="4"/>
  <c r="Q32" i="4"/>
  <c r="F32" i="4"/>
  <c r="H32" i="4"/>
  <c r="AA32" i="4"/>
  <c r="L32" i="4"/>
  <c r="P32" i="4"/>
  <c r="AB32" i="4"/>
  <c r="D32" i="2"/>
  <c r="AC30" i="4" l="1"/>
  <c r="AC4" i="4"/>
  <c r="AC26" i="4"/>
  <c r="AC7" i="4"/>
  <c r="AC27" i="4"/>
  <c r="AC6" i="4"/>
  <c r="AC28" i="4"/>
  <c r="AC5" i="4"/>
  <c r="AC29" i="4"/>
  <c r="AC8" i="4"/>
  <c r="AC9" i="4"/>
  <c r="AC10" i="4"/>
  <c r="AC11" i="4"/>
  <c r="AC12" i="4"/>
  <c r="AC13" i="4"/>
  <c r="AC14" i="4"/>
  <c r="AC15" i="4"/>
  <c r="AC31" i="4"/>
  <c r="AC16" i="4"/>
  <c r="AC17" i="4"/>
  <c r="AC41" i="4"/>
  <c r="AC18" i="4"/>
  <c r="AC42" i="4"/>
  <c r="AC19" i="4"/>
  <c r="AC20" i="4"/>
  <c r="AC43" i="4"/>
  <c r="AC21" i="4"/>
  <c r="AC44" i="4"/>
  <c r="AC50" i="4"/>
  <c r="AC22" i="4"/>
  <c r="AC49" i="4"/>
  <c r="AC45" i="4"/>
  <c r="AC48" i="4"/>
  <c r="AC46" i="4"/>
  <c r="AC47" i="4"/>
  <c r="AC23" i="4"/>
  <c r="AC52" i="4"/>
  <c r="AC24" i="4"/>
  <c r="AC51" i="4"/>
  <c r="AC25" i="4"/>
  <c r="AD33" i="4"/>
  <c r="T33" i="4"/>
  <c r="G33" i="4"/>
  <c r="E33" i="4"/>
  <c r="D33" i="4"/>
  <c r="Z33" i="4"/>
  <c r="V33" i="4"/>
  <c r="K33" i="4"/>
  <c r="AB33" i="4"/>
  <c r="AC33" i="4"/>
  <c r="M33" i="4"/>
  <c r="P33" i="4"/>
  <c r="I33" i="4"/>
  <c r="F33" i="4"/>
  <c r="S33" i="4"/>
  <c r="U33" i="4"/>
  <c r="O33" i="4"/>
  <c r="AA33" i="4"/>
  <c r="J33" i="4"/>
  <c r="L33" i="4"/>
  <c r="R33" i="4"/>
  <c r="C33" i="4"/>
  <c r="W33" i="4"/>
  <c r="X33" i="4"/>
  <c r="Q33" i="4"/>
  <c r="Y33" i="4"/>
  <c r="H33" i="4"/>
  <c r="N33" i="4"/>
  <c r="D33" i="2"/>
  <c r="AD31" i="4" l="1"/>
  <c r="AD14" i="4"/>
  <c r="AD15" i="4"/>
  <c r="AD16" i="4"/>
  <c r="AD17" i="4"/>
  <c r="AD41" i="4"/>
  <c r="AD18" i="4"/>
  <c r="AD42" i="4"/>
  <c r="AD19" i="4"/>
  <c r="AD20" i="4"/>
  <c r="AD43" i="4"/>
  <c r="AD44" i="4"/>
  <c r="AD21" i="4"/>
  <c r="AD48" i="4"/>
  <c r="AD22" i="4"/>
  <c r="AD51" i="4"/>
  <c r="AD45" i="4"/>
  <c r="AD50" i="4"/>
  <c r="AD23" i="4"/>
  <c r="AD47" i="4"/>
  <c r="AD46" i="4"/>
  <c r="AD52" i="4"/>
  <c r="AD24" i="4"/>
  <c r="AD49" i="4"/>
  <c r="AD25" i="4"/>
  <c r="AD4" i="4"/>
  <c r="AD26" i="4"/>
  <c r="AD6" i="4"/>
  <c r="AD27" i="4"/>
  <c r="AD7" i="4"/>
  <c r="AD28" i="4"/>
  <c r="AD5" i="4"/>
  <c r="AD29" i="4"/>
  <c r="AD8" i="4"/>
  <c r="AD30" i="4"/>
  <c r="AD32" i="4"/>
  <c r="AD9" i="4"/>
  <c r="AD10" i="4"/>
  <c r="AD11" i="4"/>
  <c r="AD12" i="4"/>
  <c r="AD13" i="4"/>
  <c r="AD34" i="4"/>
  <c r="P34" i="4"/>
  <c r="AB34" i="4"/>
  <c r="T34" i="4"/>
  <c r="S34" i="4"/>
  <c r="V34" i="4"/>
  <c r="AA34" i="4"/>
  <c r="K34" i="4"/>
  <c r="Z34" i="4"/>
  <c r="C34" i="4"/>
  <c r="M34" i="4"/>
  <c r="R34" i="4"/>
  <c r="O34" i="4"/>
  <c r="G34" i="4"/>
  <c r="H34" i="4"/>
  <c r="Y34" i="4"/>
  <c r="AC34" i="4"/>
  <c r="I34" i="4"/>
  <c r="L34" i="4"/>
  <c r="E34" i="4"/>
  <c r="N34" i="4"/>
  <c r="F34" i="4"/>
  <c r="W34" i="4"/>
  <c r="J34" i="4"/>
  <c r="X34" i="4"/>
  <c r="AE34" i="4"/>
  <c r="U34" i="4"/>
  <c r="Q34" i="4"/>
  <c r="D34" i="4"/>
  <c r="D34" i="2"/>
  <c r="AE32" i="4" l="1"/>
  <c r="AE50" i="4"/>
  <c r="AE22" i="4"/>
  <c r="AE47" i="4"/>
  <c r="AE46" i="4"/>
  <c r="AE48" i="4"/>
  <c r="AE23" i="4"/>
  <c r="AE52" i="4"/>
  <c r="AE24" i="4"/>
  <c r="AE49" i="4"/>
  <c r="AE25" i="4"/>
  <c r="AE51" i="4"/>
  <c r="AE26" i="4"/>
  <c r="AE4" i="4"/>
  <c r="AE27" i="4"/>
  <c r="AE7" i="4"/>
  <c r="AE28" i="4"/>
  <c r="AE5" i="4"/>
  <c r="AE29" i="4"/>
  <c r="AE6" i="4"/>
  <c r="AE30" i="4"/>
  <c r="AE8" i="4"/>
  <c r="AE31" i="4"/>
  <c r="AE9" i="4"/>
  <c r="AE10" i="4"/>
  <c r="AE11" i="4"/>
  <c r="AE12" i="4"/>
  <c r="AE13" i="4"/>
  <c r="AE14" i="4"/>
  <c r="AE15" i="4"/>
  <c r="AE33" i="4"/>
  <c r="AE16" i="4"/>
  <c r="AE17" i="4"/>
  <c r="AE41" i="4"/>
  <c r="AE18" i="4"/>
  <c r="AE19" i="4"/>
  <c r="AE43" i="4"/>
  <c r="AE20" i="4"/>
  <c r="AE21" i="4"/>
  <c r="AE44" i="4"/>
  <c r="AE42" i="4"/>
  <c r="AE45" i="4"/>
  <c r="D35" i="4"/>
  <c r="AF35" i="4"/>
  <c r="Y35" i="4"/>
  <c r="V35" i="4"/>
  <c r="N35" i="4"/>
  <c r="W35" i="4"/>
  <c r="I35" i="4"/>
  <c r="K35" i="4"/>
  <c r="H35" i="4"/>
  <c r="AB35" i="4"/>
  <c r="X35" i="4"/>
  <c r="G35" i="4"/>
  <c r="R35" i="4"/>
  <c r="F35" i="4"/>
  <c r="U35" i="4"/>
  <c r="Z35" i="4"/>
  <c r="T35" i="4"/>
  <c r="AC35" i="4"/>
  <c r="M35" i="4"/>
  <c r="S35" i="4"/>
  <c r="E35" i="4"/>
  <c r="AD35" i="4"/>
  <c r="C35" i="4"/>
  <c r="AA35" i="4"/>
  <c r="J35" i="4"/>
  <c r="Q35" i="4"/>
  <c r="P35" i="4"/>
  <c r="AE35" i="4"/>
  <c r="L35" i="4"/>
  <c r="O35" i="4"/>
  <c r="D35" i="2"/>
  <c r="AH35" i="4" l="1"/>
  <c r="AF33" i="4"/>
  <c r="AF34" i="4"/>
  <c r="AF15" i="4"/>
  <c r="AF16" i="4"/>
  <c r="AF17" i="4"/>
  <c r="AF18" i="4"/>
  <c r="AF41" i="4"/>
  <c r="AF19" i="4"/>
  <c r="AF20" i="4"/>
  <c r="AF43" i="4"/>
  <c r="AF44" i="4"/>
  <c r="AF21" i="4"/>
  <c r="AF42" i="4"/>
  <c r="AF45" i="4"/>
  <c r="AF50" i="4"/>
  <c r="AF22" i="4"/>
  <c r="AF49" i="4"/>
  <c r="AF23" i="4"/>
  <c r="AF47" i="4"/>
  <c r="AF46" i="4"/>
  <c r="AF52" i="4"/>
  <c r="AF24" i="4"/>
  <c r="AF51" i="4"/>
  <c r="AF25" i="4"/>
  <c r="AF48" i="4"/>
  <c r="AF26" i="4"/>
  <c r="AF4" i="4"/>
  <c r="AF27" i="4"/>
  <c r="AF7" i="4"/>
  <c r="AF28" i="4"/>
  <c r="AF6" i="4"/>
  <c r="AF29" i="4"/>
  <c r="AF5" i="4"/>
  <c r="AF30" i="4"/>
  <c r="AF8" i="4"/>
  <c r="AF31" i="4"/>
  <c r="AF9" i="4"/>
  <c r="AF32" i="4"/>
  <c r="AF10" i="4"/>
  <c r="AF11" i="4"/>
  <c r="AF12" i="4"/>
  <c r="AF13" i="4"/>
  <c r="AF14" i="4"/>
  <c r="T36" i="4"/>
  <c r="P36" i="4"/>
  <c r="E36" i="4"/>
  <c r="D36" i="4"/>
  <c r="AF36" i="4"/>
  <c r="W36" i="4"/>
  <c r="AG36" i="4"/>
  <c r="AC36" i="4"/>
  <c r="O36" i="4"/>
  <c r="AB36" i="4"/>
  <c r="U36" i="4"/>
  <c r="AA36" i="4"/>
  <c r="J36" i="4"/>
  <c r="L36" i="4"/>
  <c r="G36" i="4"/>
  <c r="Q36" i="4"/>
  <c r="V36" i="4"/>
  <c r="F36" i="4"/>
  <c r="Z36" i="4"/>
  <c r="N36" i="4"/>
  <c r="I36" i="4"/>
  <c r="R36" i="4"/>
  <c r="C36" i="4"/>
  <c r="Y36" i="4"/>
  <c r="S36" i="4"/>
  <c r="M36" i="4"/>
  <c r="H36" i="4"/>
  <c r="AD36" i="4"/>
  <c r="K36" i="4"/>
  <c r="X36" i="4"/>
  <c r="AE36" i="4"/>
  <c r="AH10" i="4"/>
  <c r="AH12" i="4"/>
  <c r="AH13" i="4"/>
  <c r="AH14" i="4"/>
  <c r="AH15" i="4"/>
  <c r="AH16" i="4"/>
  <c r="AH17" i="4"/>
  <c r="AH41" i="4"/>
  <c r="AH19" i="4"/>
  <c r="D36" i="2"/>
  <c r="AH33" i="4" l="1"/>
  <c r="AH42" i="4"/>
  <c r="AH18" i="4"/>
  <c r="AH36" i="4"/>
  <c r="AH25" i="4"/>
  <c r="AH52" i="4"/>
  <c r="AH24" i="4"/>
  <c r="AH49" i="4"/>
  <c r="AH23" i="4"/>
  <c r="AH50" i="4"/>
  <c r="AH46" i="4"/>
  <c r="AH47" i="4"/>
  <c r="AH22" i="4"/>
  <c r="AH48" i="4"/>
  <c r="AH21" i="4"/>
  <c r="AH45" i="4"/>
  <c r="AH44" i="4"/>
  <c r="AH43" i="4"/>
  <c r="AH20" i="4"/>
  <c r="AH34" i="4"/>
  <c r="AH11" i="4"/>
  <c r="AH32" i="4"/>
  <c r="AH9" i="4"/>
  <c r="AG34" i="4"/>
  <c r="AG5" i="4"/>
  <c r="AG28" i="4"/>
  <c r="AG7" i="4"/>
  <c r="AG29" i="4"/>
  <c r="AG6" i="4"/>
  <c r="AG30" i="4"/>
  <c r="AG8" i="4"/>
  <c r="AG31" i="4"/>
  <c r="AG9" i="4"/>
  <c r="AG32" i="4"/>
  <c r="AG10" i="4"/>
  <c r="AG33" i="4"/>
  <c r="AG11" i="4"/>
  <c r="AG12" i="4"/>
  <c r="AG13" i="4"/>
  <c r="AG14" i="4"/>
  <c r="AG35" i="4"/>
  <c r="AG15" i="4"/>
  <c r="AG16" i="4"/>
  <c r="AG17" i="4"/>
  <c r="AG18" i="4"/>
  <c r="AG41" i="4"/>
  <c r="AG19" i="4"/>
  <c r="AG42" i="4"/>
  <c r="AG20" i="4"/>
  <c r="AG43" i="4"/>
  <c r="AG21" i="4"/>
  <c r="AG45" i="4"/>
  <c r="AG44" i="4"/>
  <c r="AG51" i="4"/>
  <c r="AG22" i="4"/>
  <c r="AG49" i="4"/>
  <c r="AG46" i="4"/>
  <c r="AG48" i="4"/>
  <c r="AG23" i="4"/>
  <c r="AG52" i="4"/>
  <c r="AG24" i="4"/>
  <c r="AG47" i="4"/>
  <c r="AG25" i="4"/>
  <c r="AG50" i="4"/>
  <c r="AG26" i="4"/>
  <c r="AG4" i="4"/>
  <c r="AG27" i="4"/>
  <c r="AH31" i="4"/>
  <c r="AH8" i="4"/>
  <c r="AH30" i="4"/>
  <c r="AH6" i="4"/>
  <c r="AH29" i="4"/>
  <c r="AH7" i="4"/>
  <c r="AH28" i="4"/>
  <c r="AH5" i="4"/>
  <c r="AH27" i="4"/>
  <c r="AH4" i="4"/>
  <c r="AH26" i="4"/>
  <c r="AH51" i="4"/>
  <c r="AF37" i="4"/>
  <c r="AD37" i="4"/>
  <c r="O37" i="4"/>
  <c r="N37" i="4"/>
  <c r="D37" i="4"/>
  <c r="C37" i="4"/>
  <c r="T37" i="4"/>
  <c r="S37" i="4"/>
  <c r="G37" i="4"/>
  <c r="AA37" i="4"/>
  <c r="Z37" i="4"/>
  <c r="W37" i="4"/>
  <c r="Y37" i="4"/>
  <c r="AE37" i="4"/>
  <c r="X37" i="4"/>
  <c r="AB37" i="4"/>
  <c r="U37" i="4"/>
  <c r="P37" i="4"/>
  <c r="Q37" i="4"/>
  <c r="H37" i="4"/>
  <c r="K37" i="4"/>
  <c r="M37" i="4"/>
  <c r="AC37" i="4"/>
  <c r="R37" i="4"/>
  <c r="V37" i="4"/>
  <c r="E37" i="4"/>
  <c r="AG37" i="4"/>
  <c r="F37" i="4"/>
  <c r="AH37" i="4"/>
  <c r="I37" i="4"/>
  <c r="L37" i="4"/>
  <c r="J37" i="4"/>
  <c r="D37" i="2"/>
  <c r="AC38" i="4" l="1"/>
  <c r="AF38" i="4"/>
  <c r="Y38" i="4"/>
  <c r="D38" i="4"/>
  <c r="AD38" i="4"/>
  <c r="U38" i="4"/>
  <c r="K38" i="4"/>
  <c r="AB38" i="4"/>
  <c r="R38" i="4"/>
  <c r="AE38" i="4"/>
  <c r="Z38" i="4"/>
  <c r="F38" i="4"/>
  <c r="M38" i="4"/>
  <c r="AI38" i="4"/>
  <c r="N38" i="4"/>
  <c r="AA38" i="4"/>
  <c r="X38" i="4"/>
  <c r="C38" i="4"/>
  <c r="AH38" i="4"/>
  <c r="I38" i="4"/>
  <c r="W38" i="4"/>
  <c r="T38" i="4"/>
  <c r="O38" i="4"/>
  <c r="G38" i="4"/>
  <c r="H38" i="4"/>
  <c r="V38" i="4"/>
  <c r="E38" i="4"/>
  <c r="P38" i="4"/>
  <c r="AG38" i="4"/>
  <c r="L38" i="4"/>
  <c r="S38" i="4"/>
  <c r="Q38" i="4"/>
  <c r="J38" i="4"/>
  <c r="D38" i="2"/>
  <c r="D39" i="2"/>
  <c r="AI36" i="4" l="1"/>
  <c r="AI52" i="4"/>
  <c r="AI23" i="4"/>
  <c r="AI47" i="4"/>
  <c r="AI24" i="4"/>
  <c r="AI51" i="4"/>
  <c r="AI25" i="4"/>
  <c r="AI49" i="4"/>
  <c r="AI26" i="4"/>
  <c r="AI4" i="4"/>
  <c r="AI27" i="4"/>
  <c r="AI6" i="4"/>
  <c r="AI28" i="4"/>
  <c r="AI5" i="4"/>
  <c r="AI29" i="4"/>
  <c r="AI8" i="4"/>
  <c r="AI30" i="4"/>
  <c r="AI9" i="4"/>
  <c r="AI31" i="4"/>
  <c r="AI10" i="4"/>
  <c r="AI32" i="4"/>
  <c r="AI11" i="4"/>
  <c r="AI33" i="4"/>
  <c r="AI12" i="4"/>
  <c r="AI34" i="4"/>
  <c r="AI13" i="4"/>
  <c r="AI35" i="4"/>
  <c r="AI14" i="4"/>
  <c r="AI15" i="4"/>
  <c r="AI16" i="4"/>
  <c r="AI17" i="4"/>
  <c r="AI41" i="4"/>
  <c r="AI18" i="4"/>
  <c r="AI42" i="4"/>
  <c r="AI19" i="4"/>
  <c r="AI20" i="4"/>
  <c r="AI37" i="4"/>
  <c r="AI43" i="4"/>
  <c r="AI44" i="4"/>
  <c r="AI21" i="4"/>
  <c r="AI7" i="4"/>
  <c r="AI45" i="4"/>
  <c r="AI50" i="4"/>
  <c r="AI22" i="4"/>
  <c r="AI48" i="4"/>
  <c r="AI46" i="4"/>
  <c r="AG40" i="4"/>
  <c r="AF40" i="4"/>
  <c r="AC40" i="4"/>
  <c r="P40" i="4"/>
  <c r="D40" i="4"/>
  <c r="E40" i="4"/>
  <c r="AE40" i="4"/>
  <c r="I40" i="4"/>
  <c r="AA40" i="4"/>
  <c r="T40" i="4"/>
  <c r="AJ40" i="4"/>
  <c r="S40" i="4"/>
  <c r="AB40" i="4"/>
  <c r="X40" i="4"/>
  <c r="Q40" i="4"/>
  <c r="N40" i="4"/>
  <c r="M40" i="4"/>
  <c r="W40" i="4"/>
  <c r="O40" i="4"/>
  <c r="R40" i="4"/>
  <c r="J40" i="4"/>
  <c r="K40" i="4"/>
  <c r="Z40" i="4"/>
  <c r="C40" i="4"/>
  <c r="G40" i="4"/>
  <c r="V40" i="4"/>
  <c r="F40" i="4"/>
  <c r="H40" i="4"/>
  <c r="AI40" i="4"/>
  <c r="U40" i="4"/>
  <c r="Y40" i="4"/>
  <c r="AH40" i="4"/>
  <c r="AD40" i="4"/>
  <c r="L40" i="4"/>
  <c r="D39" i="4"/>
  <c r="AG39" i="4"/>
  <c r="AF39" i="4"/>
  <c r="E39" i="4"/>
  <c r="J39" i="4"/>
  <c r="N39" i="4"/>
  <c r="AE39" i="4"/>
  <c r="L39" i="4"/>
  <c r="F39" i="4"/>
  <c r="S39" i="4"/>
  <c r="X39" i="4"/>
  <c r="Z39" i="4"/>
  <c r="K39" i="4"/>
  <c r="Q39" i="4"/>
  <c r="AA39" i="4"/>
  <c r="H39" i="4"/>
  <c r="AJ39" i="4"/>
  <c r="C39" i="4"/>
  <c r="O39" i="4"/>
  <c r="I39" i="4"/>
  <c r="W39" i="4"/>
  <c r="U39" i="4"/>
  <c r="AH39" i="4"/>
  <c r="P39" i="4"/>
  <c r="Y39" i="4"/>
  <c r="AB39" i="4"/>
  <c r="M39" i="4"/>
  <c r="AI39" i="4"/>
  <c r="V39" i="4"/>
  <c r="G39" i="4"/>
  <c r="T39" i="4"/>
  <c r="R39" i="4"/>
  <c r="AC39" i="4"/>
  <c r="AD39" i="4"/>
  <c r="AJ37" i="4" l="1"/>
  <c r="AJ52" i="4"/>
  <c r="AJ23" i="4"/>
  <c r="AJ47" i="4"/>
  <c r="AJ24" i="4"/>
  <c r="AJ49" i="4"/>
  <c r="AJ25" i="4"/>
  <c r="AJ4" i="4"/>
  <c r="AJ26" i="4"/>
  <c r="AJ7" i="4"/>
  <c r="AJ27" i="4"/>
  <c r="AJ5" i="4"/>
  <c r="AJ28" i="4"/>
  <c r="AJ6" i="4"/>
  <c r="AJ29" i="4"/>
  <c r="AJ8" i="4"/>
  <c r="AJ30" i="4"/>
  <c r="AJ9" i="4"/>
  <c r="AJ31" i="4"/>
  <c r="AJ10" i="4"/>
  <c r="AJ32" i="4"/>
  <c r="AJ11" i="4"/>
  <c r="AJ33" i="4"/>
  <c r="AJ12" i="4"/>
  <c r="AJ34" i="4"/>
  <c r="AJ38" i="4"/>
  <c r="AJ13" i="4"/>
  <c r="AJ35" i="4"/>
  <c r="AJ14" i="4"/>
  <c r="AJ36" i="4"/>
  <c r="AJ15" i="4"/>
  <c r="AJ16" i="4"/>
  <c r="AJ17" i="4"/>
  <c r="AJ41" i="4"/>
  <c r="AJ18" i="4"/>
  <c r="AJ42" i="4"/>
  <c r="AJ19" i="4"/>
  <c r="AJ20" i="4"/>
  <c r="AJ43" i="4"/>
  <c r="AJ21" i="4"/>
  <c r="AJ44" i="4"/>
  <c r="AJ48" i="4"/>
  <c r="AJ45" i="4"/>
  <c r="AJ51" i="4"/>
  <c r="AJ22" i="4"/>
  <c r="AJ50" i="4"/>
  <c r="AJ46" i="4"/>
  <c r="AK38" i="4" l="1"/>
  <c r="AK44" i="4"/>
  <c r="AK51" i="4"/>
  <c r="AK45" i="4"/>
  <c r="AK48" i="4"/>
  <c r="AK22" i="4"/>
  <c r="AK40" i="4"/>
  <c r="AK49" i="4"/>
  <c r="AK46" i="4"/>
  <c r="AK50" i="4"/>
  <c r="AK23" i="4"/>
  <c r="AK47" i="4"/>
  <c r="AK24" i="4"/>
  <c r="AK52" i="4"/>
  <c r="AK25" i="4"/>
  <c r="AK4" i="4"/>
  <c r="AK26" i="4"/>
  <c r="AK6" i="4"/>
  <c r="AK27" i="4"/>
  <c r="AK7" i="4"/>
  <c r="AK28" i="4"/>
  <c r="AK5" i="4"/>
  <c r="AK29" i="4"/>
  <c r="AK8" i="4"/>
  <c r="AK30" i="4"/>
  <c r="AK9" i="4"/>
  <c r="AK31" i="4"/>
  <c r="AK10" i="4"/>
  <c r="AK32" i="4"/>
  <c r="AK11" i="4"/>
  <c r="AK33" i="4"/>
  <c r="AK12" i="4"/>
  <c r="AK34" i="4"/>
  <c r="AK13" i="4"/>
  <c r="AK35" i="4"/>
  <c r="AK14" i="4"/>
  <c r="AK36" i="4"/>
  <c r="AK15" i="4"/>
  <c r="AK37" i="4"/>
  <c r="AK39" i="4"/>
  <c r="AK16" i="4"/>
  <c r="AK17" i="4"/>
  <c r="AK41" i="4"/>
  <c r="AK18" i="4"/>
  <c r="AK19" i="4"/>
  <c r="AK42" i="4"/>
  <c r="AK43" i="4"/>
  <c r="AK20" i="4"/>
  <c r="AK21" i="4"/>
  <c r="AL19" i="4" l="1"/>
  <c r="AL20" i="4"/>
  <c r="AL33" i="4"/>
  <c r="AL44" i="4"/>
  <c r="AL48" i="4"/>
  <c r="AL45" i="4"/>
  <c r="AL52" i="4"/>
  <c r="AL4" i="4"/>
  <c r="AL28" i="4"/>
  <c r="AL43" i="4"/>
  <c r="AL21" i="4"/>
  <c r="AL49" i="4"/>
  <c r="AL22" i="4"/>
  <c r="AL30" i="4"/>
  <c r="AL47" i="4"/>
  <c r="AL7" i="4"/>
  <c r="AL31" i="4"/>
  <c r="AL32" i="4"/>
  <c r="AL12" i="4"/>
  <c r="AL35" i="4"/>
  <c r="AL13" i="4"/>
  <c r="AL36" i="4"/>
  <c r="AL6" i="4"/>
  <c r="AL10" i="4"/>
  <c r="AL14" i="4"/>
  <c r="AL37" i="4"/>
  <c r="AL25" i="4"/>
  <c r="AL11" i="4"/>
  <c r="AL15" i="4"/>
  <c r="AL38" i="4"/>
  <c r="AL50" i="4"/>
  <c r="AL27" i="4"/>
  <c r="AL16" i="4"/>
  <c r="AL40" i="4"/>
  <c r="AL24" i="4"/>
  <c r="AL17" i="4"/>
  <c r="AL39" i="4"/>
  <c r="AL5" i="4"/>
  <c r="AL29" i="4"/>
  <c r="AL41" i="4"/>
  <c r="AL51" i="4"/>
  <c r="AL8" i="4"/>
  <c r="AL18" i="4"/>
  <c r="AL23" i="4"/>
  <c r="AL26" i="4"/>
  <c r="AL9" i="4"/>
  <c r="AL34" i="4"/>
  <c r="AL42" i="4"/>
  <c r="AL46" i="4"/>
  <c r="AM40" i="4" l="1"/>
  <c r="AM39" i="4"/>
  <c r="AM47" i="4"/>
  <c r="AM46" i="4"/>
  <c r="AM48" i="4"/>
  <c r="AM49" i="4"/>
  <c r="AM4" i="4"/>
  <c r="AM27" i="4"/>
  <c r="AM6" i="4"/>
  <c r="AM28" i="4"/>
  <c r="AM30" i="4"/>
  <c r="AM14" i="4"/>
  <c r="AM24" i="4"/>
  <c r="AM25" i="4"/>
  <c r="AM50" i="4"/>
  <c r="AM26" i="4"/>
  <c r="AM7" i="4"/>
  <c r="AM29" i="4"/>
  <c r="AM5" i="4"/>
  <c r="AM8" i="4"/>
  <c r="AM10" i="4"/>
  <c r="AM38" i="4"/>
  <c r="AM41" i="4"/>
  <c r="AM18" i="4"/>
  <c r="AM16" i="4"/>
  <c r="AM42" i="4"/>
  <c r="AM19" i="4"/>
  <c r="AM11" i="4"/>
  <c r="AM13" i="4"/>
  <c r="AM15" i="4"/>
  <c r="AM20" i="4"/>
  <c r="AM43" i="4"/>
  <c r="AM32" i="4"/>
  <c r="AM34" i="4"/>
  <c r="AM36" i="4"/>
  <c r="AM37" i="4"/>
  <c r="AM21" i="4"/>
  <c r="AM12" i="4"/>
  <c r="AM44" i="4"/>
  <c r="AM17" i="4"/>
  <c r="AM45" i="4"/>
  <c r="AM51" i="4"/>
  <c r="AM22" i="4"/>
  <c r="AM31" i="4"/>
  <c r="AM9" i="4"/>
  <c r="AM33" i="4"/>
  <c r="AM35" i="4"/>
  <c r="AM52" i="4"/>
  <c r="AM23" i="4"/>
  <c r="AR45" i="4" l="1"/>
  <c r="AR22" i="4"/>
  <c r="AR16" i="4"/>
  <c r="AR17" i="4"/>
  <c r="AR41" i="4"/>
  <c r="AR23" i="4"/>
  <c r="AR18" i="4"/>
  <c r="AR42" i="4"/>
  <c r="AR19" i="4"/>
  <c r="AR20" i="4"/>
  <c r="AR43" i="4"/>
  <c r="AR44" i="4"/>
  <c r="AR21" i="4"/>
  <c r="AR50" i="4"/>
  <c r="AR46" i="4"/>
  <c r="AR48" i="4"/>
  <c r="AR52" i="4"/>
  <c r="AR51" i="4"/>
  <c r="AR47" i="4"/>
  <c r="AR49" i="4"/>
  <c r="AR4" i="4"/>
  <c r="AR7" i="4"/>
  <c r="AR6" i="4"/>
  <c r="AR5" i="4"/>
  <c r="AR8" i="4"/>
  <c r="AR9" i="4"/>
  <c r="AR10" i="4"/>
  <c r="AR11" i="4"/>
  <c r="AR12" i="4"/>
  <c r="AR13" i="4"/>
  <c r="AR14" i="4"/>
  <c r="AR15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40" i="4"/>
  <c r="AR39" i="4"/>
  <c r="AQ44" i="4"/>
  <c r="AQ45" i="4"/>
  <c r="AQ18" i="4"/>
  <c r="AQ42" i="4"/>
  <c r="AQ19" i="4"/>
  <c r="AQ43" i="4"/>
  <c r="AQ20" i="4"/>
  <c r="AQ21" i="4"/>
  <c r="AQ17" i="4"/>
  <c r="AQ50" i="4"/>
  <c r="AQ52" i="4"/>
  <c r="AQ48" i="4"/>
  <c r="AQ51" i="4"/>
  <c r="AQ47" i="4"/>
  <c r="AQ49" i="4"/>
  <c r="AQ4" i="4"/>
  <c r="AQ5" i="4"/>
  <c r="AQ7" i="4"/>
  <c r="AQ6" i="4"/>
  <c r="AQ8" i="4"/>
  <c r="AQ9" i="4"/>
  <c r="AQ10" i="4"/>
  <c r="AQ11" i="4"/>
  <c r="AQ12" i="4"/>
  <c r="AQ22" i="4"/>
  <c r="AQ13" i="4"/>
  <c r="AQ14" i="4"/>
  <c r="AQ15" i="4"/>
  <c r="AQ16" i="4"/>
  <c r="AQ41" i="4"/>
  <c r="AQ46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S14" i="4"/>
  <c r="AS45" i="4"/>
  <c r="AS17" i="4"/>
  <c r="AS48" i="4"/>
  <c r="AS51" i="4"/>
  <c r="AS23" i="4"/>
  <c r="AS9" i="4"/>
  <c r="AS43" i="4"/>
  <c r="AS15" i="4"/>
  <c r="AS20" i="4"/>
  <c r="AS16" i="4"/>
  <c r="AS22" i="4"/>
  <c r="AS4" i="4"/>
  <c r="AS12" i="4"/>
  <c r="AS49" i="4"/>
  <c r="AS6" i="4"/>
  <c r="AS21" i="4"/>
  <c r="AS18" i="4"/>
  <c r="AS7" i="4"/>
  <c r="AS44" i="4"/>
  <c r="AS52" i="4"/>
  <c r="AS8" i="4"/>
  <c r="AS24" i="4"/>
  <c r="AS46" i="4"/>
  <c r="AS10" i="4"/>
  <c r="AS41" i="4"/>
  <c r="AS13" i="4"/>
  <c r="AS47" i="4"/>
  <c r="AS19" i="4"/>
  <c r="AS5" i="4"/>
  <c r="AS50" i="4"/>
  <c r="AS11" i="4"/>
  <c r="AS42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40" i="4"/>
  <c r="AS39" i="4"/>
  <c r="AP43" i="4"/>
  <c r="AP52" i="4"/>
  <c r="AP50" i="4"/>
  <c r="AP48" i="4"/>
  <c r="AP4" i="4"/>
  <c r="AP7" i="4"/>
  <c r="AP5" i="4"/>
  <c r="AP6" i="4"/>
  <c r="AP44" i="4"/>
  <c r="AP8" i="4"/>
  <c r="AP9" i="4"/>
  <c r="AP10" i="4"/>
  <c r="AP11" i="4"/>
  <c r="AP12" i="4"/>
  <c r="AP13" i="4"/>
  <c r="AP14" i="4"/>
  <c r="AP15" i="4"/>
  <c r="AP16" i="4"/>
  <c r="AP17" i="4"/>
  <c r="AP41" i="4"/>
  <c r="AP18" i="4"/>
  <c r="AP19" i="4"/>
  <c r="AP42" i="4"/>
  <c r="AP20" i="4"/>
  <c r="AP47" i="4"/>
  <c r="AP49" i="4"/>
  <c r="AP51" i="4"/>
  <c r="AP21" i="4"/>
  <c r="AP45" i="4"/>
  <c r="AP22" i="4"/>
  <c r="AP46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40" i="4"/>
  <c r="AP39" i="4"/>
  <c r="AN41" i="4"/>
  <c r="AN48" i="4"/>
  <c r="AN51" i="4"/>
  <c r="AN50" i="4"/>
  <c r="AN52" i="4"/>
  <c r="AN47" i="4"/>
  <c r="AN49" i="4"/>
  <c r="AN19" i="4"/>
  <c r="AN4" i="4"/>
  <c r="AN5" i="4"/>
  <c r="AN6" i="4"/>
  <c r="AN7" i="4"/>
  <c r="AN8" i="4"/>
  <c r="AN9" i="4"/>
  <c r="AN10" i="4"/>
  <c r="AN18" i="4"/>
  <c r="AN11" i="4"/>
  <c r="AN12" i="4"/>
  <c r="AN13" i="4"/>
  <c r="AN14" i="4"/>
  <c r="AN15" i="4"/>
  <c r="AN16" i="4"/>
  <c r="AN17" i="4"/>
  <c r="AN42" i="4"/>
  <c r="AN20" i="4"/>
  <c r="AN43" i="4"/>
  <c r="AN44" i="4"/>
  <c r="AN21" i="4"/>
  <c r="AN22" i="4"/>
  <c r="AN45" i="4"/>
  <c r="AN23" i="4"/>
  <c r="AN46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40" i="4"/>
  <c r="AN39" i="4"/>
  <c r="AO19" i="4"/>
  <c r="AO50" i="4"/>
  <c r="AO51" i="4"/>
  <c r="AO4" i="4"/>
  <c r="AO7" i="4"/>
  <c r="AO6" i="4"/>
  <c r="AO5" i="4"/>
  <c r="AO42" i="4"/>
  <c r="AO8" i="4"/>
  <c r="AO9" i="4"/>
  <c r="AO10" i="4"/>
  <c r="AO11" i="4"/>
  <c r="AO12" i="4"/>
  <c r="AO13" i="4"/>
  <c r="AO14" i="4"/>
  <c r="AO15" i="4"/>
  <c r="AO16" i="4"/>
  <c r="AO20" i="4"/>
  <c r="AO17" i="4"/>
  <c r="AO18" i="4"/>
  <c r="AO41" i="4"/>
  <c r="AO47" i="4"/>
  <c r="AO43" i="4"/>
  <c r="AO48" i="4"/>
  <c r="AO49" i="4"/>
  <c r="AO52" i="4"/>
  <c r="AO44" i="4"/>
  <c r="AO21" i="4"/>
  <c r="AO22" i="4"/>
  <c r="AO45" i="4"/>
  <c r="AO23" i="4"/>
  <c r="AO46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T51" i="4"/>
  <c r="AT49" i="4"/>
  <c r="AT52" i="4"/>
  <c r="AT50" i="4"/>
  <c r="AT48" i="4"/>
  <c r="AT47" i="4"/>
  <c r="AT4" i="4"/>
  <c r="AT5" i="4"/>
  <c r="AT7" i="4"/>
  <c r="AT6" i="4"/>
  <c r="AT8" i="4"/>
  <c r="AT9" i="4"/>
  <c r="AT10" i="4"/>
  <c r="AT11" i="4"/>
  <c r="AT12" i="4"/>
  <c r="AT13" i="4"/>
  <c r="AT14" i="4"/>
  <c r="AT15" i="4"/>
  <c r="AT16" i="4"/>
  <c r="AT17" i="4"/>
  <c r="AT41" i="4"/>
  <c r="AT18" i="4"/>
  <c r="AT42" i="4"/>
  <c r="AT19" i="4"/>
  <c r="AT43" i="4"/>
  <c r="AT20" i="4"/>
  <c r="AT44" i="4"/>
  <c r="AT21" i="4"/>
  <c r="AT22" i="4"/>
  <c r="AT45" i="4"/>
  <c r="AT46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U52" i="4"/>
  <c r="AU51" i="4"/>
  <c r="AU47" i="4"/>
  <c r="AU49" i="4"/>
  <c r="AU50" i="4"/>
  <c r="AU48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41" i="4"/>
  <c r="AU18" i="4"/>
  <c r="AU19" i="4"/>
  <c r="AU42" i="4"/>
  <c r="AU20" i="4"/>
  <c r="AU43" i="4"/>
  <c r="AU21" i="4"/>
  <c r="AU44" i="4"/>
  <c r="AU45" i="4"/>
  <c r="AU22" i="4"/>
  <c r="AU46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V52" i="4"/>
  <c r="AV48" i="4"/>
  <c r="AV50" i="4"/>
  <c r="AV47" i="4"/>
  <c r="AV49" i="4"/>
  <c r="AV51" i="4"/>
  <c r="AV4" i="4"/>
  <c r="AV5" i="4"/>
  <c r="AV7" i="4"/>
  <c r="AV6" i="4"/>
  <c r="AV8" i="4"/>
  <c r="AV9" i="4"/>
  <c r="AV10" i="4"/>
  <c r="AV11" i="4"/>
  <c r="AV12" i="4"/>
  <c r="AV13" i="4"/>
  <c r="AV14" i="4"/>
  <c r="AV15" i="4"/>
  <c r="AV16" i="4"/>
  <c r="AV17" i="4"/>
  <c r="AV41" i="4"/>
  <c r="AV18" i="4"/>
  <c r="AV42" i="4"/>
  <c r="AV19" i="4"/>
  <c r="AV43" i="4"/>
  <c r="AV20" i="4"/>
  <c r="AV44" i="4"/>
  <c r="AV21" i="4"/>
  <c r="AV22" i="4"/>
  <c r="AV45" i="4"/>
  <c r="AV46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40" i="4"/>
  <c r="AV3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Eng. Mohamed Hany</author>
    <author>tc={8FE40A13-574A-442B-BFFE-A7BD4272A715}</author>
  </authors>
  <commentList>
    <comment ref="J32" authorId="0" shapeId="0" xr:uid="{5EDF1ADE-5D52-4B10-8C4A-FDD2EA2DEF2C}">
      <text>
        <r>
          <rPr>
            <sz val="11"/>
            <color theme="1"/>
            <rFont val="Calibri"/>
            <family val="2"/>
            <scheme val="minor"/>
          </rPr>
          <t xml:space="preserve">Eng. Mohamed Hany:
بداية من أعمدة الارضى بس أحمد عبد العظيم كان مجهز حديدها بره </t>
        </r>
      </text>
    </comment>
    <comment ref="H34" authorId="1" shapeId="0" xr:uid="{8FE40A13-574A-442B-BFFE-A7BD4272A715}">
      <text>
        <t>[Threaded comment]
Your version of Excel allows you to read this threaded comment; however, any edits to it will get removed if the file is opened in a newer version of Excel. Learn more: https://go.microsoft.com/fwlink/?linkid=870924
Comment:
    حداد شغال مع على السيد مكان مصطفى الحداد فى عمارة 9 زون 72</t>
      </text>
    </comment>
    <comment ref="J34" authorId="0" shapeId="0" xr:uid="{05F6F6F1-3762-41CA-A1E0-5CC19764E79A}">
      <text>
        <r>
          <rPr>
            <sz val="11"/>
            <color theme="1"/>
            <rFont val="Calibri"/>
            <family val="2"/>
            <scheme val="minor"/>
          </rPr>
          <t xml:space="preserve">Eng. Mohamed Hany:
بداية من أعندة الثانى </t>
        </r>
      </text>
    </comment>
  </commentList>
</comments>
</file>

<file path=xl/sharedStrings.xml><?xml version="1.0" encoding="utf-8"?>
<sst xmlns="http://schemas.openxmlformats.org/spreadsheetml/2006/main" count="619" uniqueCount="391">
  <si>
    <t>NAME</t>
  </si>
  <si>
    <t>ENGLISH NAME</t>
  </si>
  <si>
    <t>CODE</t>
  </si>
  <si>
    <t>Khadija Saleh Salem Al-Balawi60</t>
  </si>
  <si>
    <t>NAME ARABIC</t>
  </si>
  <si>
    <t>NAME ENGLISH</t>
  </si>
  <si>
    <t>NO.</t>
  </si>
  <si>
    <t>FIRST LETTER</t>
  </si>
  <si>
    <t>CONTRACT CODE</t>
  </si>
  <si>
    <t xml:space="preserve">اسم المؤسسة /الشركة </t>
  </si>
  <si>
    <t>المسمى بالانجليزي</t>
  </si>
  <si>
    <t>Time Start</t>
  </si>
  <si>
    <t>نطاق العمل</t>
  </si>
  <si>
    <t>اسم المقاول المفوض</t>
  </si>
  <si>
    <t>Zone</t>
  </si>
  <si>
    <t>رقم العقد</t>
  </si>
  <si>
    <t>Building</t>
  </si>
  <si>
    <t>خليج الكوثر للتجاره والمقاولات</t>
  </si>
  <si>
    <t>ALKAWTHER BAY COMPANY FOR TRADING AND CONTRACTING</t>
  </si>
  <si>
    <t>CSU</t>
  </si>
  <si>
    <t>A1</t>
  </si>
  <si>
    <t>حدادة ونجارة دق مسمار</t>
  </si>
  <si>
    <t>مؤسسه العماره الهندسيه</t>
  </si>
  <si>
    <t>Engineering Architecture</t>
  </si>
  <si>
    <t>E</t>
  </si>
  <si>
    <t>CSB</t>
  </si>
  <si>
    <t>E2</t>
  </si>
  <si>
    <t xml:space="preserve">(خرسانة + طابوق ) مصنعيات بالعدة </t>
  </si>
  <si>
    <t>وليد</t>
  </si>
  <si>
    <t>3BHK (A-11)</t>
  </si>
  <si>
    <t>3BHK (AS-2-12)</t>
  </si>
  <si>
    <t>مؤسسه ورود حسن الكحيليني</t>
  </si>
  <si>
    <t>Worod Hassan Al-Kahilini</t>
  </si>
  <si>
    <t>W</t>
  </si>
  <si>
    <t>W3</t>
  </si>
  <si>
    <t>شهباز</t>
  </si>
  <si>
    <t>103 - 2025-sama qamra</t>
  </si>
  <si>
    <t>3BHK (AS1-7)</t>
  </si>
  <si>
    <t>3BHK (A8)</t>
  </si>
  <si>
    <t>3BHK (AS2-9)</t>
  </si>
  <si>
    <t>3BHK (AS1-10)</t>
  </si>
  <si>
    <t>مؤسسه عبد العزيز أحمد الناصر</t>
  </si>
  <si>
    <t>Abdul Aziz Ahmed Al Nasser</t>
  </si>
  <si>
    <t>A</t>
  </si>
  <si>
    <t>A4</t>
  </si>
  <si>
    <t>زكريا</t>
  </si>
  <si>
    <t>105 - 2025-sama qamra</t>
  </si>
  <si>
    <t>3BHK (AS-2-1)</t>
  </si>
  <si>
    <t>3BHK (A-2)</t>
  </si>
  <si>
    <t>مؤسسه انجاز الأثير للمقاولات</t>
  </si>
  <si>
    <t>Injaz Al-Atheer Contracting</t>
  </si>
  <si>
    <t>I</t>
  </si>
  <si>
    <t>I5</t>
  </si>
  <si>
    <t>ابو رضوان</t>
  </si>
  <si>
    <t xml:space="preserve">106 - 2025-sama qamra </t>
  </si>
  <si>
    <t>3BHK (A-5)</t>
  </si>
  <si>
    <t>3BHK (AS-1-6)</t>
  </si>
  <si>
    <t>مؤسسه خديجة صالح سالم البلوى</t>
  </si>
  <si>
    <t>Khadija Saleh Salem Al-Balawi</t>
  </si>
  <si>
    <t>K</t>
  </si>
  <si>
    <t>K6</t>
  </si>
  <si>
    <t>ابو عبد عزيز</t>
  </si>
  <si>
    <t>4BHK (B1)</t>
  </si>
  <si>
    <t>4BHK (B2)</t>
  </si>
  <si>
    <t>مؤسسه تمارا المستقبل للصيانة</t>
  </si>
  <si>
    <t>Tamara Al-Mustaqbal for Maintenance</t>
  </si>
  <si>
    <t>T</t>
  </si>
  <si>
    <t>T7</t>
  </si>
  <si>
    <t>ابو مروان</t>
  </si>
  <si>
    <t>114 - 2025-sama qamra</t>
  </si>
  <si>
    <t>4BHK (B5)</t>
  </si>
  <si>
    <t>4BHK (BS1-6)</t>
  </si>
  <si>
    <t>مؤسسه فلاح دريميح المطيرى</t>
  </si>
  <si>
    <t>Falah Dreimeh Al-Mutairi</t>
  </si>
  <si>
    <t>F</t>
  </si>
  <si>
    <t>F8</t>
  </si>
  <si>
    <t>ابو الخير</t>
  </si>
  <si>
    <t>113 - 2025-sama qamra</t>
  </si>
  <si>
    <t>4BHK (BS1-3)</t>
  </si>
  <si>
    <t>4BHK (BS2-4)</t>
  </si>
  <si>
    <t>مؤسسه سلسبيل الصفا للتشغيل والصيانة</t>
  </si>
  <si>
    <t>Salsabeel Al-Safa for Operation and Maintenance</t>
  </si>
  <si>
    <t>S</t>
  </si>
  <si>
    <t>BAFI</t>
  </si>
  <si>
    <t>S9</t>
  </si>
  <si>
    <t>حفر &amp;  احلال</t>
  </si>
  <si>
    <t>ابو محمد</t>
  </si>
  <si>
    <t>All</t>
  </si>
  <si>
    <t>100- 2025-sama qamra</t>
  </si>
  <si>
    <t>البنائيين العرب</t>
  </si>
  <si>
    <t>ACCC</t>
  </si>
  <si>
    <t>INS</t>
  </si>
  <si>
    <t>A10</t>
  </si>
  <si>
    <t>عزل (بيتومين - اسمنتي - اسطح)</t>
  </si>
  <si>
    <t>م-عادل عرفة</t>
  </si>
  <si>
    <t>الخبرات العمالية</t>
  </si>
  <si>
    <t>Global Expertise</t>
  </si>
  <si>
    <t>G</t>
  </si>
  <si>
    <t>G11</t>
  </si>
  <si>
    <t>مقيد السورى</t>
  </si>
  <si>
    <t xml:space="preserve">115 - 2025-sama qamra </t>
  </si>
  <si>
    <t>4BHK (B8)</t>
  </si>
  <si>
    <t>منظومة إعمار(لاغى)</t>
  </si>
  <si>
    <t>Manzumat Emaar</t>
  </si>
  <si>
    <t>M</t>
  </si>
  <si>
    <t>M12</t>
  </si>
  <si>
    <t xml:space="preserve">خيرى </t>
  </si>
  <si>
    <t>4BHK (B9)</t>
  </si>
  <si>
    <t>جوان الأولى</t>
  </si>
  <si>
    <t>Giwan</t>
  </si>
  <si>
    <t>G13</t>
  </si>
  <si>
    <t>محمد فودة الإحساء</t>
  </si>
  <si>
    <t xml:space="preserve">116 - 2025-sama qamra </t>
  </si>
  <si>
    <t>4BHK (BS2-7)</t>
  </si>
  <si>
    <t>حسين (لاغى)</t>
  </si>
  <si>
    <t xml:space="preserve">Hussain </t>
  </si>
  <si>
    <t>H</t>
  </si>
  <si>
    <t>SHSU</t>
  </si>
  <si>
    <t>H14</t>
  </si>
  <si>
    <t xml:space="preserve">نجارة دق مسمار  </t>
  </si>
  <si>
    <t>حسين + أحمد عبد العظيم</t>
  </si>
  <si>
    <t>3BHK (AS-2-4)</t>
  </si>
  <si>
    <t xml:space="preserve"> على السيد</t>
  </si>
  <si>
    <t>Ali Elsayed</t>
  </si>
  <si>
    <t>A15</t>
  </si>
  <si>
    <t>على السيد</t>
  </si>
  <si>
    <t>أحمد عصام (لاغى )</t>
  </si>
  <si>
    <t>Ahmed Essam</t>
  </si>
  <si>
    <t>A16</t>
  </si>
  <si>
    <t xml:space="preserve">نجارة  دق مسمار </t>
  </si>
  <si>
    <t>أحمد عصام</t>
  </si>
  <si>
    <t>أحمد السوهاجى</t>
  </si>
  <si>
    <t>Ahmed Elsohagy</t>
  </si>
  <si>
    <t>A17</t>
  </si>
  <si>
    <t>مؤسسة جاسم البحار (حوالة )</t>
  </si>
  <si>
    <t>Jasim Albihar</t>
  </si>
  <si>
    <t>18-MEP</t>
  </si>
  <si>
    <t>J</t>
  </si>
  <si>
    <t>MEPU</t>
  </si>
  <si>
    <t>J18-MEP</t>
  </si>
  <si>
    <t>كهرباء وميكانيكا مصنعيات</t>
  </si>
  <si>
    <t xml:space="preserve">الفلبينى </t>
  </si>
  <si>
    <t>005 - elec &amp; mech -2025 sama Qamra</t>
  </si>
  <si>
    <t>3BHK (AS-1-3)</t>
  </si>
  <si>
    <t>مهندس كريم (لاغى)</t>
  </si>
  <si>
    <t>Engineer Karim</t>
  </si>
  <si>
    <t>19-MEP</t>
  </si>
  <si>
    <t>E19-MEP</t>
  </si>
  <si>
    <t>مهندس كريم</t>
  </si>
  <si>
    <t>شركة الرحاب ( لاغى)</t>
  </si>
  <si>
    <t>El-Rehab Company</t>
  </si>
  <si>
    <t>20-MEP</t>
  </si>
  <si>
    <t>E20-MEP</t>
  </si>
  <si>
    <t>سعد يونس (كاش) - المجرة الشرقية</t>
  </si>
  <si>
    <t>Saad Younis</t>
  </si>
  <si>
    <t>21-MEP</t>
  </si>
  <si>
    <t>S21-MEP</t>
  </si>
  <si>
    <t xml:space="preserve">سعد يونس </t>
  </si>
  <si>
    <t>3BHK (A2)</t>
  </si>
  <si>
    <t>13-MEP</t>
  </si>
  <si>
    <t/>
  </si>
  <si>
    <t>الخبرات العمالية (حوالة )</t>
  </si>
  <si>
    <t>23-MEP</t>
  </si>
  <si>
    <t>G23-MEP</t>
  </si>
  <si>
    <t>004 - elec &amp; mech - 2025 - sama qamra</t>
  </si>
  <si>
    <t>المتمكن للمقاولات(حوالة )</t>
  </si>
  <si>
    <t>Tamkeen Contracting Company</t>
  </si>
  <si>
    <t>24-MEP</t>
  </si>
  <si>
    <t>T24-MEP</t>
  </si>
  <si>
    <t>سلطان الرشيد</t>
  </si>
  <si>
    <t>006 - Elec &amp; mech -2025 - sama qamra</t>
  </si>
  <si>
    <r>
      <t>مؤسسه فلاح دريميح المطيرى</t>
    </r>
    <r>
      <rPr>
        <sz val="11"/>
        <color rgb="FFFF0000"/>
        <rFont val="Calibri"/>
        <family val="2"/>
        <scheme val="minor"/>
      </rPr>
      <t>(لاغي)</t>
    </r>
  </si>
  <si>
    <t>25-MEP</t>
  </si>
  <si>
    <t>F25-MEP</t>
  </si>
  <si>
    <r>
      <t xml:space="preserve">مؤسسه تمارا المستقبل للصيانة </t>
    </r>
    <r>
      <rPr>
        <sz val="11"/>
        <color rgb="FFFF0000"/>
        <rFont val="Calibri"/>
        <family val="2"/>
        <scheme val="minor"/>
      </rPr>
      <t>(لاغي)</t>
    </r>
  </si>
  <si>
    <t>26-MEP</t>
  </si>
  <si>
    <t>T26-MEP</t>
  </si>
  <si>
    <r>
      <t>جوان الأولى</t>
    </r>
    <r>
      <rPr>
        <sz val="11"/>
        <color rgb="FFFF0000"/>
        <rFont val="Calibri"/>
        <family val="2"/>
        <scheme val="minor"/>
      </rPr>
      <t>(لاغي )</t>
    </r>
  </si>
  <si>
    <t>Jowan Al-Oula</t>
  </si>
  <si>
    <t>27-MEP</t>
  </si>
  <si>
    <t>J27-MEP</t>
  </si>
  <si>
    <t>خليج الكوثر للتجاره والمقاولات MEP</t>
  </si>
  <si>
    <t>28-MEP</t>
  </si>
  <si>
    <t>A28-MEP</t>
  </si>
  <si>
    <t>جمال</t>
  </si>
  <si>
    <t>Gamal</t>
  </si>
  <si>
    <t>G29</t>
  </si>
  <si>
    <t xml:space="preserve">جمال </t>
  </si>
  <si>
    <t xml:space="preserve">مؤسسة فاطمة العليانى </t>
  </si>
  <si>
    <t>Fatma AlEliany</t>
  </si>
  <si>
    <t>F30</t>
  </si>
  <si>
    <t>أبو جنى - أبو خالد</t>
  </si>
  <si>
    <t>117 - 2025-sama qamra</t>
  </si>
  <si>
    <t>محمد عبد الله سيد بركات ( روعة) - كاش Mep</t>
  </si>
  <si>
    <t xml:space="preserve">Rawaa </t>
  </si>
  <si>
    <t>31-MEP</t>
  </si>
  <si>
    <t>R</t>
  </si>
  <si>
    <t>R31-MEP</t>
  </si>
  <si>
    <t>72-32-33</t>
  </si>
  <si>
    <t>FF ALL</t>
  </si>
  <si>
    <t>محمد مجاهد (لاغى)</t>
  </si>
  <si>
    <t>Mohamed Mejahed</t>
  </si>
  <si>
    <t>32-B</t>
  </si>
  <si>
    <t>STSU</t>
  </si>
  <si>
    <t>M32-B</t>
  </si>
  <si>
    <t xml:space="preserve">حدادة دق مسار </t>
  </si>
  <si>
    <t>AS 2-9</t>
  </si>
  <si>
    <t>إسماعيل</t>
  </si>
  <si>
    <t>Ismail</t>
  </si>
  <si>
    <t>33-B</t>
  </si>
  <si>
    <t>BU</t>
  </si>
  <si>
    <t>I33-B</t>
  </si>
  <si>
    <t>أعمال مباني مصنعيات</t>
  </si>
  <si>
    <t>الخبرات العمالية ( بلوك) - مقيد</t>
  </si>
  <si>
    <t>Mokaid</t>
  </si>
  <si>
    <t>34-B</t>
  </si>
  <si>
    <t>M34-B</t>
  </si>
  <si>
    <t>مقيد</t>
  </si>
  <si>
    <t>كمال- (بلوك)</t>
  </si>
  <si>
    <t>Kamal</t>
  </si>
  <si>
    <t>35-B</t>
  </si>
  <si>
    <t>K35-B</t>
  </si>
  <si>
    <t>كمال</t>
  </si>
  <si>
    <t>عبد الملك( بلوك) /شهباز</t>
  </si>
  <si>
    <t>Abdelmalek / Shahbaz</t>
  </si>
  <si>
    <t>36-B</t>
  </si>
  <si>
    <t>A36-B</t>
  </si>
  <si>
    <t>عبد الملك</t>
  </si>
  <si>
    <t>مالك( بلوك) ( لاغى)</t>
  </si>
  <si>
    <t>Malek</t>
  </si>
  <si>
    <t>37-B</t>
  </si>
  <si>
    <t>M37-B</t>
  </si>
  <si>
    <t>مالك</t>
  </si>
  <si>
    <t>محمد محى (كاش)(أكبر)</t>
  </si>
  <si>
    <t>Mohamed Mohy</t>
  </si>
  <si>
    <t>38-MEP</t>
  </si>
  <si>
    <t>M38-MEP</t>
  </si>
  <si>
    <t>محمد محى</t>
  </si>
  <si>
    <t>أحمد عصام ( نجار)</t>
  </si>
  <si>
    <t>A40</t>
  </si>
  <si>
    <t>حسين ( نجار )</t>
  </si>
  <si>
    <t>H41</t>
  </si>
  <si>
    <r>
      <t xml:space="preserve">مصطفى </t>
    </r>
    <r>
      <rPr>
        <sz val="11"/>
        <color theme="1"/>
        <rFont val="Calibri"/>
        <family val="2"/>
        <scheme val="minor"/>
      </rPr>
      <t>(لاغى)</t>
    </r>
  </si>
  <si>
    <t>Mustafa</t>
  </si>
  <si>
    <t>M42</t>
  </si>
  <si>
    <t xml:space="preserve">احمد العجوز ( حداد ) </t>
  </si>
  <si>
    <t>Ahmed Al Agoz</t>
  </si>
  <si>
    <t>A45</t>
  </si>
  <si>
    <t xml:space="preserve">أحمد عبد العظيم </t>
  </si>
  <si>
    <t xml:space="preserve">Ahmed Abdulazim </t>
  </si>
  <si>
    <t>A46</t>
  </si>
  <si>
    <t>جمال الباجورى (كاش)</t>
  </si>
  <si>
    <t xml:space="preserve">Gamal Elbagory </t>
  </si>
  <si>
    <t>45-Mep</t>
  </si>
  <si>
    <t>G45-Mep</t>
  </si>
  <si>
    <t>شمس الحديثة (حوالة )</t>
  </si>
  <si>
    <t>Shams Elhditha</t>
  </si>
  <si>
    <t>46-Mep</t>
  </si>
  <si>
    <t>FFU</t>
  </si>
  <si>
    <t>S46-Mep</t>
  </si>
  <si>
    <t>أعمال مكافحة الحريق</t>
  </si>
  <si>
    <t>001-FIRE FIGHTING-2025-SAMA QAMRA</t>
  </si>
  <si>
    <t>محمد مجاهد ( حداد )</t>
  </si>
  <si>
    <t>Mohamed Mejahed .</t>
  </si>
  <si>
    <t>M47</t>
  </si>
  <si>
    <t xml:space="preserve">محمد حمادة ( نجار +حداد) لاغى  </t>
  </si>
  <si>
    <t xml:space="preserve">Mohamed Hamada </t>
  </si>
  <si>
    <t>M48</t>
  </si>
  <si>
    <t xml:space="preserve">مصطفى ( حداد ) </t>
  </si>
  <si>
    <t xml:space="preserve">Mostafa </t>
  </si>
  <si>
    <t>M49</t>
  </si>
  <si>
    <t>خيرى ( حدادة + نجارة )</t>
  </si>
  <si>
    <t>khairy</t>
  </si>
  <si>
    <t>k</t>
  </si>
  <si>
    <t>k50</t>
  </si>
  <si>
    <t>محمد الحلبى ( حداد )</t>
  </si>
  <si>
    <t>Mohamed Elhalaby</t>
  </si>
  <si>
    <t>M51</t>
  </si>
  <si>
    <t>افتخار  ( بلوك ) ( طارق)</t>
  </si>
  <si>
    <t>Eftekhar ( Tarek )</t>
  </si>
  <si>
    <t>52-B</t>
  </si>
  <si>
    <t>E52-B</t>
  </si>
  <si>
    <t>سامى ( بلوك )</t>
  </si>
  <si>
    <t>Sami</t>
  </si>
  <si>
    <t>53-B</t>
  </si>
  <si>
    <t>S53-B</t>
  </si>
  <si>
    <t xml:space="preserve">عطية ( حداد ) </t>
  </si>
  <si>
    <t xml:space="preserve">Attia </t>
  </si>
  <si>
    <t>A54</t>
  </si>
  <si>
    <t>أحمد المدنى ( حداد )</t>
  </si>
  <si>
    <t>Ahmed Elmidany</t>
  </si>
  <si>
    <t>A55</t>
  </si>
  <si>
    <t>أسامة ( مليس )</t>
  </si>
  <si>
    <t xml:space="preserve">Osama </t>
  </si>
  <si>
    <t>56-P</t>
  </si>
  <si>
    <t>O</t>
  </si>
  <si>
    <t>PLU</t>
  </si>
  <si>
    <t>O56-P</t>
  </si>
  <si>
    <t>أعمال اللياسة مصنعيات</t>
  </si>
  <si>
    <t>اسلام خان ( مليس )</t>
  </si>
  <si>
    <t>Eslam</t>
  </si>
  <si>
    <t>57-P</t>
  </si>
  <si>
    <t>E57-P</t>
  </si>
  <si>
    <t>فازان ( مليس )</t>
  </si>
  <si>
    <t>Fazan</t>
  </si>
  <si>
    <t>58-P</t>
  </si>
  <si>
    <t>F58-P</t>
  </si>
  <si>
    <t>شهباز ( مليس)( عبد الملك)</t>
  </si>
  <si>
    <t>Shahbaz</t>
  </si>
  <si>
    <t>59-P</t>
  </si>
  <si>
    <t>S59-P</t>
  </si>
  <si>
    <t>احمد ذكى ( جبس )</t>
  </si>
  <si>
    <t>Ahmed Zaki</t>
  </si>
  <si>
    <t>60-C</t>
  </si>
  <si>
    <t>GY</t>
  </si>
  <si>
    <t>A60-C</t>
  </si>
  <si>
    <t>أعمال الجبسيوم بورد مصنعيات</t>
  </si>
  <si>
    <t>شهباز ( MEP ) (حوالة)</t>
  </si>
  <si>
    <t>Shahbaz Mep</t>
  </si>
  <si>
    <t>61-Mep</t>
  </si>
  <si>
    <t>S61-Mep</t>
  </si>
  <si>
    <t>عارف (MEP) (كاش)</t>
  </si>
  <si>
    <t>Aref</t>
  </si>
  <si>
    <t>62-Mep</t>
  </si>
  <si>
    <t>A62-Mep</t>
  </si>
  <si>
    <t xml:space="preserve">BS1-6 </t>
  </si>
  <si>
    <t>كاشير خان  ( بلوك )</t>
  </si>
  <si>
    <t>Kasher Khan</t>
  </si>
  <si>
    <t>63-B</t>
  </si>
  <si>
    <t>K63-B</t>
  </si>
  <si>
    <t>أبو ياسين ( حداد )</t>
  </si>
  <si>
    <t>Abo Yassin</t>
  </si>
  <si>
    <t>A64</t>
  </si>
  <si>
    <t>صالح (شدة معدنية)</t>
  </si>
  <si>
    <t xml:space="preserve">Saleh </t>
  </si>
  <si>
    <t xml:space="preserve">أعمال فك وتركيب الشدة المعدنية </t>
  </si>
  <si>
    <t>زى شان (بلوك)</t>
  </si>
  <si>
    <t>Ze Shan</t>
  </si>
  <si>
    <t>66-B</t>
  </si>
  <si>
    <t>Z66-B</t>
  </si>
  <si>
    <t>فهد معدات ( كور)</t>
  </si>
  <si>
    <t>Fahd</t>
  </si>
  <si>
    <t>67-Mep</t>
  </si>
  <si>
    <t>F67-Mep</t>
  </si>
  <si>
    <t>أعمال تفتيح الكورز لمواسير الصرف</t>
  </si>
  <si>
    <t>على قنديل (بلوك) - وليد شعبان</t>
  </si>
  <si>
    <t>Ali Kandel</t>
  </si>
  <si>
    <t>68-B</t>
  </si>
  <si>
    <t>A68-B</t>
  </si>
  <si>
    <t>69-B</t>
  </si>
  <si>
    <t>W69-B</t>
  </si>
  <si>
    <t>كاشير خان  (مليس)</t>
  </si>
  <si>
    <t>70-P</t>
  </si>
  <si>
    <t>K70-P</t>
  </si>
  <si>
    <t>رفعت (مليس)</t>
  </si>
  <si>
    <t xml:space="preserve">Refat </t>
  </si>
  <si>
    <t>71-P</t>
  </si>
  <si>
    <t>R71-P</t>
  </si>
  <si>
    <t>ياسر (دهان)</t>
  </si>
  <si>
    <t>Yasser</t>
  </si>
  <si>
    <t>72-PA</t>
  </si>
  <si>
    <t>PAU</t>
  </si>
  <si>
    <t>Y72-PA</t>
  </si>
  <si>
    <r>
      <t xml:space="preserve">أعمال الدهانات الداخلية </t>
    </r>
    <r>
      <rPr>
        <sz val="11"/>
        <color rgb="FFFF0000"/>
        <rFont val="Calibri"/>
        <family val="2"/>
        <scheme val="minor"/>
      </rPr>
      <t>بالمواد</t>
    </r>
  </si>
  <si>
    <t>أكبر ( سباك)(لاغى)</t>
  </si>
  <si>
    <t>Akbar</t>
  </si>
  <si>
    <t>73-MEP</t>
  </si>
  <si>
    <t>A73-MEP</t>
  </si>
  <si>
    <t>أعمال ميكانيكا مصنعيات</t>
  </si>
  <si>
    <t>AS1-10</t>
  </si>
  <si>
    <t>A-11</t>
  </si>
  <si>
    <t>AS2-12</t>
  </si>
  <si>
    <t>تبيان (MEP)</t>
  </si>
  <si>
    <t>Tebian</t>
  </si>
  <si>
    <t>74-MEP</t>
  </si>
  <si>
    <t>T74-MEP</t>
  </si>
  <si>
    <t>مزمل (MEP)</t>
  </si>
  <si>
    <t>Muzamil</t>
  </si>
  <si>
    <t>75-MEP</t>
  </si>
  <si>
    <t>محمد يونس (مليس)</t>
  </si>
  <si>
    <t>Mohamed Yonis</t>
  </si>
  <si>
    <t>76-P</t>
  </si>
  <si>
    <t>إيمان راشد للمقاولات ( تشطيبات)</t>
  </si>
  <si>
    <t xml:space="preserve">Eman Rashid </t>
  </si>
  <si>
    <t>أعمال تشطيبات</t>
  </si>
  <si>
    <t>التراث الشرقى</t>
  </si>
  <si>
    <t>Turath El Sharki</t>
  </si>
  <si>
    <t>نسر مصر (MEP)</t>
  </si>
  <si>
    <t>Egypt’s Eagle</t>
  </si>
  <si>
    <t>79-MEP</t>
  </si>
  <si>
    <t>VLOOKUP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</si>
</sst>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42424"/>
      <name val="Aptos Narrow"/>
      <family val="2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5" fillId="10" borderId="19" xfId="0" applyFon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5" fillId="10" borderId="18" xfId="0" applyFont="1" applyFill="1" applyBorder="1" applyAlignment="1">
      <alignment horizontal="center" vertical="center" wrapText="1"/>
    </xf>
    <xf numFmtId="0" fontId="0" fillId="10" borderId="20" xfId="0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 wrapText="1"/>
    </xf>
    <xf numFmtId="0" fontId="0" fillId="14" borderId="19" xfId="0" applyFill="1" applyBorder="1" applyAlignment="1">
      <alignment horizontal="center" vertical="center" wrapText="1"/>
    </xf>
    <xf numFmtId="0" fontId="5" fillId="14" borderId="19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12" borderId="19" xfId="0" applyFill="1" applyBorder="1" applyAlignment="1">
      <alignment horizontal="center" vertical="center" wrapText="1"/>
    </xf>
    <xf numFmtId="0" fontId="5" fillId="12" borderId="19" xfId="0" applyFont="1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5" fillId="12" borderId="18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13" borderId="19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ng. Mohamed Hany" id="{47B76009-4A72-46CB-8722-0054B6DB510D}" userId="S::plan.alkbc@alkbgroup.onmicrosoft.com::1cd25d88-7a3a-4af5-b701-dfa51e959c0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4" dT="2025-12-02T13:23:11.79" personId="{47B76009-4A72-46CB-8722-0054B6DB510D}" id="{8FE40A13-574A-442B-BFFE-A7BD4272A715}">
    <text>حداد شغال مع على السيد مكان مصطفى الحداد فى عمارة 9 زون 72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8B4C-52F7-4CFC-8A39-EB26A8F69CA9}">
  <sheetPr>
    <tabColor rgb="FFFFC000"/>
  </sheetPr>
  <dimension ref="B1:E400"/>
  <sheetViews>
    <sheetView topLeftCell="A4" workbookViewId="0">
      <selection activeCell="D80" sqref="D80"/>
    </sheetView>
  </sheetViews>
  <sheetFormatPr defaultRowHeight="15" x14ac:dyDescent="0.25"/>
  <cols>
    <col min="1" max="1" width="3.42578125" customWidth="1"/>
    <col min="2" max="2" width="40.85546875" customWidth="1"/>
    <col min="3" max="3" width="74.140625" bestFit="1" customWidth="1"/>
    <col min="4" max="4" width="12.5703125" bestFit="1" customWidth="1"/>
  </cols>
  <sheetData>
    <row r="1" spans="2:5" ht="15.75" thickBot="1" x14ac:dyDescent="0.3"/>
    <row r="2" spans="2:5" ht="36.75" customHeight="1" thickBot="1" x14ac:dyDescent="0.3">
      <c r="B2" s="7" t="s">
        <v>0</v>
      </c>
      <c r="C2" s="14" t="s">
        <v>1</v>
      </c>
      <c r="D2" s="6" t="s">
        <v>2</v>
      </c>
    </row>
    <row r="3" spans="2:5" ht="18.75" x14ac:dyDescent="0.25">
      <c r="B3" s="5" t="str">
        <f>Links!B3</f>
        <v>خليج الكوثر للتجاره والمقاولات</v>
      </c>
      <c r="C3" s="15" t="str">
        <f>Links!C3</f>
        <v>ALKAWTHER BAY COMPANY FOR TRADING AND CONTRACTING</v>
      </c>
      <c r="D3" s="4" t="str">
        <f>Links!G3</f>
        <v>A1</v>
      </c>
      <c r="E3" s="1"/>
    </row>
    <row r="4" spans="2:5" ht="18.75" x14ac:dyDescent="0.25">
      <c r="B4" s="3" t="str">
        <f>Links!B4</f>
        <v>مؤسسه العماره الهندسيه</v>
      </c>
      <c r="C4" s="15" t="str">
        <f>Links!C4</f>
        <v>Engineering Architecture</v>
      </c>
      <c r="D4" s="2" t="str">
        <f>Links!G4</f>
        <v>E2</v>
      </c>
      <c r="E4" s="1"/>
    </row>
    <row r="5" spans="2:5" ht="18.75" x14ac:dyDescent="0.25">
      <c r="B5" s="3" t="str">
        <f>Links!B5</f>
        <v>مؤسسه ورود حسن الكحيليني</v>
      </c>
      <c r="C5" s="15" t="str">
        <f>Links!C5</f>
        <v>Worod Hassan Al-Kahilini</v>
      </c>
      <c r="D5" s="2" t="str">
        <f>Links!G5</f>
        <v>W3</v>
      </c>
      <c r="E5" s="1"/>
    </row>
    <row r="6" spans="2:5" ht="18.75" x14ac:dyDescent="0.25">
      <c r="B6" s="3" t="str">
        <f>Links!B6</f>
        <v>مؤسسه عبد العزيز أحمد الناصر</v>
      </c>
      <c r="C6" s="15" t="str">
        <f>Links!C6</f>
        <v>Abdul Aziz Ahmed Al Nasser</v>
      </c>
      <c r="D6" s="2" t="str">
        <f>Links!G6</f>
        <v>A4</v>
      </c>
      <c r="E6" s="1"/>
    </row>
    <row r="7" spans="2:5" ht="18.75" x14ac:dyDescent="0.25">
      <c r="B7" s="3" t="str">
        <f>Links!B7</f>
        <v>مؤسسه انجاز الأثير للمقاولات</v>
      </c>
      <c r="C7" s="15" t="str">
        <f>Links!C7</f>
        <v>Injaz Al-Atheer Contracting</v>
      </c>
      <c r="D7" s="2" t="str">
        <f>Links!G7</f>
        <v>I5</v>
      </c>
      <c r="E7" s="1"/>
    </row>
    <row r="8" spans="2:5" ht="18.75" x14ac:dyDescent="0.25">
      <c r="B8" s="3" t="str">
        <f>Links!B8</f>
        <v>مؤسسه خديجة صالح سالم البلوى</v>
      </c>
      <c r="C8" s="15" t="s">
        <v>3</v>
      </c>
      <c r="D8" s="2" t="str">
        <f>Links!G8</f>
        <v>K6</v>
      </c>
      <c r="E8" s="1"/>
    </row>
    <row r="9" spans="2:5" ht="18.75" x14ac:dyDescent="0.25">
      <c r="B9" s="3" t="str">
        <f>Links!B9</f>
        <v>مؤسسه تمارا المستقبل للصيانة</v>
      </c>
      <c r="C9" s="15" t="str">
        <f>Links!C9</f>
        <v>Tamara Al-Mustaqbal for Maintenance</v>
      </c>
      <c r="D9" s="2" t="str">
        <f>Links!G9</f>
        <v>T7</v>
      </c>
      <c r="E9" s="1"/>
    </row>
    <row r="10" spans="2:5" ht="18.75" x14ac:dyDescent="0.25">
      <c r="B10" s="3" t="str">
        <f>Links!B10</f>
        <v>مؤسسه فلاح دريميح المطيرى</v>
      </c>
      <c r="C10" s="15" t="str">
        <f>Links!C10</f>
        <v>Falah Dreimeh Al-Mutairi</v>
      </c>
      <c r="D10" s="2" t="str">
        <f>Links!G10</f>
        <v>F8</v>
      </c>
      <c r="E10" s="1"/>
    </row>
    <row r="11" spans="2:5" ht="18.75" x14ac:dyDescent="0.25">
      <c r="B11" s="3" t="str">
        <f>Links!B11</f>
        <v>مؤسسه سلسبيل الصفا للتشغيل والصيانة</v>
      </c>
      <c r="C11" s="15" t="str">
        <f>Links!C11</f>
        <v>Salsabeel Al-Safa for Operation and Maintenance</v>
      </c>
      <c r="D11" s="2" t="str">
        <f>Links!G11</f>
        <v>S9</v>
      </c>
      <c r="E11" s="1"/>
    </row>
    <row r="12" spans="2:5" ht="18.75" x14ac:dyDescent="0.25">
      <c r="B12" s="3" t="str">
        <f>Links!B12</f>
        <v>البنائيين العرب</v>
      </c>
      <c r="C12" s="15" t="str">
        <f>Links!C12</f>
        <v>ACCC</v>
      </c>
      <c r="D12" s="2" t="str">
        <f>Links!G12</f>
        <v>A10</v>
      </c>
      <c r="E12" s="1"/>
    </row>
    <row r="13" spans="2:5" ht="18.75" x14ac:dyDescent="0.25">
      <c r="B13" s="3" t="str">
        <f>Links!B13</f>
        <v>الخبرات العمالية</v>
      </c>
      <c r="C13" s="15" t="str">
        <f>Links!C13</f>
        <v>Global Expertise</v>
      </c>
      <c r="D13" s="2" t="str">
        <f>Links!G13</f>
        <v>G11</v>
      </c>
      <c r="E13" s="1"/>
    </row>
    <row r="14" spans="2:5" ht="18.75" x14ac:dyDescent="0.25">
      <c r="B14" s="3" t="str">
        <f>Links!B14</f>
        <v>منظومة إعمار(لاغى)</v>
      </c>
      <c r="C14" s="15" t="str">
        <f>Links!C14</f>
        <v>Manzumat Emaar</v>
      </c>
      <c r="D14" s="2" t="str">
        <f>Links!G14</f>
        <v>M12</v>
      </c>
      <c r="E14" s="1"/>
    </row>
    <row r="15" spans="2:5" ht="18.75" x14ac:dyDescent="0.25">
      <c r="B15" s="3" t="str">
        <f>Links!B15</f>
        <v>جوان الأولى</v>
      </c>
      <c r="C15" s="15" t="str">
        <f>Links!C15</f>
        <v>Giwan</v>
      </c>
      <c r="D15" s="2" t="str">
        <f>Links!G15</f>
        <v>G13</v>
      </c>
      <c r="E15" s="1"/>
    </row>
    <row r="16" spans="2:5" ht="18.75" x14ac:dyDescent="0.25">
      <c r="B16" s="3" t="str">
        <f>Links!B16</f>
        <v>حسين (لاغى)</v>
      </c>
      <c r="C16" s="15" t="str">
        <f>Links!C16</f>
        <v xml:space="preserve">Hussain </v>
      </c>
      <c r="D16" s="2" t="str">
        <f>Links!G16</f>
        <v>H14</v>
      </c>
      <c r="E16" s="1"/>
    </row>
    <row r="17" spans="2:5" ht="18.75" x14ac:dyDescent="0.25">
      <c r="B17" s="3" t="str">
        <f>Links!B17</f>
        <v xml:space="preserve"> على السيد</v>
      </c>
      <c r="C17" s="15" t="str">
        <f>Links!C17</f>
        <v>Ali Elsayed</v>
      </c>
      <c r="D17" s="2" t="str">
        <f>Links!G17</f>
        <v>A15</v>
      </c>
      <c r="E17" s="1"/>
    </row>
    <row r="18" spans="2:5" ht="18.75" x14ac:dyDescent="0.25">
      <c r="B18" s="3" t="str">
        <f>Links!B18</f>
        <v>أحمد عصام (لاغى )</v>
      </c>
      <c r="C18" s="15" t="str">
        <f>Links!C18</f>
        <v>Ahmed Essam</v>
      </c>
      <c r="D18" s="2" t="str">
        <f>Links!G18</f>
        <v>A16</v>
      </c>
      <c r="E18" s="1"/>
    </row>
    <row r="19" spans="2:5" ht="18.75" x14ac:dyDescent="0.25">
      <c r="B19" s="3" t="str">
        <f>Links!B19</f>
        <v>أحمد السوهاجى</v>
      </c>
      <c r="C19" s="15" t="str">
        <f>Links!C19</f>
        <v>Ahmed Elsohagy</v>
      </c>
      <c r="D19" s="2" t="str">
        <f>Links!G19</f>
        <v>A17</v>
      </c>
      <c r="E19" s="1"/>
    </row>
    <row r="20" spans="2:5" ht="18.75" x14ac:dyDescent="0.25">
      <c r="B20" s="3" t="str">
        <f>Links!B20</f>
        <v>مؤسسة جاسم البحار (حوالة )</v>
      </c>
      <c r="C20" s="15" t="str">
        <f>Links!C20</f>
        <v>Jasim Albihar</v>
      </c>
      <c r="D20" s="2" t="str">
        <f>Links!G20</f>
        <v>J18-MEP</v>
      </c>
      <c r="E20" s="1"/>
    </row>
    <row r="21" spans="2:5" ht="18.75" x14ac:dyDescent="0.25">
      <c r="B21" s="3" t="str">
        <f>Links!B21</f>
        <v>مهندس كريم (لاغى)</v>
      </c>
      <c r="C21" s="15" t="str">
        <f>Links!C21</f>
        <v>Engineer Karim</v>
      </c>
      <c r="D21" s="2" t="str">
        <f>Links!G21</f>
        <v>E19-MEP</v>
      </c>
      <c r="E21" s="1"/>
    </row>
    <row r="22" spans="2:5" ht="18.75" x14ac:dyDescent="0.25">
      <c r="B22" s="3" t="str">
        <f>Links!B22</f>
        <v>شركة الرحاب ( لاغى)</v>
      </c>
      <c r="C22" s="15" t="str">
        <f>Links!C22</f>
        <v>El-Rehab Company</v>
      </c>
      <c r="D22" s="2" t="str">
        <f>Links!G22</f>
        <v>E20-MEP</v>
      </c>
      <c r="E22" s="1"/>
    </row>
    <row r="23" spans="2:5" ht="18.75" x14ac:dyDescent="0.25">
      <c r="B23" s="3" t="str">
        <f>Links!B23</f>
        <v>سعد يونس (كاش) - المجرة الشرقية</v>
      </c>
      <c r="C23" s="15" t="str">
        <f>Links!C23</f>
        <v>Saad Younis</v>
      </c>
      <c r="D23" s="2" t="str">
        <f>Links!G23</f>
        <v>S21-MEP</v>
      </c>
      <c r="E23" s="1"/>
    </row>
    <row r="24" spans="2:5" ht="18.75" x14ac:dyDescent="0.25">
      <c r="B24" s="3">
        <f>Links!B24</f>
        <v>0</v>
      </c>
      <c r="C24" s="15">
        <f>Links!C24</f>
        <v>0</v>
      </c>
      <c r="D24" s="2">
        <f>Links!G24</f>
        <v>0</v>
      </c>
      <c r="E24" s="1"/>
    </row>
    <row r="25" spans="2:5" ht="18.75" x14ac:dyDescent="0.25">
      <c r="B25" s="3" t="str">
        <f>Links!B25</f>
        <v>الخبرات العمالية (حوالة )</v>
      </c>
      <c r="C25" s="15" t="str">
        <f>Links!C25</f>
        <v>Global Expertise</v>
      </c>
      <c r="D25" s="2" t="str">
        <f>Links!G25</f>
        <v>G23-MEP</v>
      </c>
      <c r="E25" s="1"/>
    </row>
    <row r="26" spans="2:5" ht="18.75" x14ac:dyDescent="0.25">
      <c r="B26" s="3" t="str">
        <f>Links!B26</f>
        <v>المتمكن للمقاولات(حوالة )</v>
      </c>
      <c r="C26" s="15" t="str">
        <f>Links!C26</f>
        <v>Tamkeen Contracting Company</v>
      </c>
      <c r="D26" s="2" t="str">
        <f>Links!G26</f>
        <v>T24-MEP</v>
      </c>
      <c r="E26" s="1"/>
    </row>
    <row r="27" spans="2:5" ht="18.75" x14ac:dyDescent="0.25">
      <c r="B27" s="3" t="str">
        <f>Links!B27</f>
        <v>مؤسسه فلاح دريميح المطيرى(لاغي)</v>
      </c>
      <c r="C27" s="15" t="str">
        <f>Links!C27</f>
        <v>Falah Dreimeh Al-Mutairi</v>
      </c>
      <c r="D27" s="2" t="str">
        <f>Links!G27</f>
        <v>F25-MEP</v>
      </c>
      <c r="E27" s="1"/>
    </row>
    <row r="28" spans="2:5" ht="18.75" x14ac:dyDescent="0.25">
      <c r="B28" s="3" t="str">
        <f>Links!B28</f>
        <v>مؤسسه تمارا المستقبل للصيانة (لاغي)</v>
      </c>
      <c r="C28" s="15" t="str">
        <f>Links!C28</f>
        <v>Tamara Al-Mustaqbal for Maintenance</v>
      </c>
      <c r="D28" s="2" t="str">
        <f>Links!G28</f>
        <v>T26-MEP</v>
      </c>
      <c r="E28" s="1"/>
    </row>
    <row r="29" spans="2:5" ht="18.75" x14ac:dyDescent="0.25">
      <c r="B29" s="3" t="str">
        <f>Links!B29</f>
        <v>جوان الأولى(لاغي )</v>
      </c>
      <c r="C29" s="15" t="str">
        <f>Links!C29</f>
        <v>Jowan Al-Oula</v>
      </c>
      <c r="D29" s="2" t="str">
        <f>Links!G29</f>
        <v>J27-MEP</v>
      </c>
      <c r="E29" s="1"/>
    </row>
    <row r="30" spans="2:5" ht="18.75" x14ac:dyDescent="0.25">
      <c r="B30" s="3" t="str">
        <f>Links!B30</f>
        <v>خليج الكوثر للتجاره والمقاولات MEP</v>
      </c>
      <c r="C30" s="15" t="str">
        <f>Links!C30</f>
        <v>ALKAWTHER BAY COMPANY FOR TRADING AND CONTRACTING</v>
      </c>
      <c r="D30" s="2" t="str">
        <f>Links!G30</f>
        <v>A28-MEP</v>
      </c>
      <c r="E30" s="1"/>
    </row>
    <row r="31" spans="2:5" ht="18.75" x14ac:dyDescent="0.25">
      <c r="B31" s="3" t="str">
        <f>Links!B31</f>
        <v>جمال</v>
      </c>
      <c r="C31" s="15" t="str">
        <f>Links!C31</f>
        <v>Gamal</v>
      </c>
      <c r="D31" s="2" t="str">
        <f>Links!G31</f>
        <v>G29</v>
      </c>
      <c r="E31" s="1"/>
    </row>
    <row r="32" spans="2:5" ht="18.75" x14ac:dyDescent="0.25">
      <c r="B32" s="3" t="str">
        <f>Links!B32</f>
        <v xml:space="preserve">مؤسسة فاطمة العليانى </v>
      </c>
      <c r="C32" s="15" t="str">
        <f>Links!C32</f>
        <v>Fatma AlEliany</v>
      </c>
      <c r="D32" s="2" t="str">
        <f>Links!G32</f>
        <v>F30</v>
      </c>
      <c r="E32" s="1"/>
    </row>
    <row r="33" spans="2:5" ht="18.75" x14ac:dyDescent="0.25">
      <c r="B33" s="3" t="str">
        <f>Links!B33</f>
        <v>محمد عبد الله سيد بركات ( روعة) - كاش Mep</v>
      </c>
      <c r="C33" s="15" t="str">
        <f>Links!C33</f>
        <v xml:space="preserve">Rawaa </v>
      </c>
      <c r="D33" s="2" t="str">
        <f>Links!G33</f>
        <v>R31-MEP</v>
      </c>
      <c r="E33" s="1"/>
    </row>
    <row r="34" spans="2:5" ht="18.75" x14ac:dyDescent="0.25">
      <c r="B34" s="3" t="str">
        <f>Links!B34</f>
        <v>محمد مجاهد (لاغى)</v>
      </c>
      <c r="C34" s="15" t="str">
        <f>Links!C34</f>
        <v>Mohamed Mejahed</v>
      </c>
      <c r="D34" s="2" t="str">
        <f>Links!G34</f>
        <v>M32-B</v>
      </c>
      <c r="E34" s="1"/>
    </row>
    <row r="35" spans="2:5" ht="18.75" x14ac:dyDescent="0.25">
      <c r="B35" s="3" t="str">
        <f>Links!B35</f>
        <v>إسماعيل</v>
      </c>
      <c r="C35" s="15" t="str">
        <f>Links!C35</f>
        <v>Ismail</v>
      </c>
      <c r="D35" s="2" t="str">
        <f>Links!G35</f>
        <v>I33-B</v>
      </c>
      <c r="E35" s="1"/>
    </row>
    <row r="36" spans="2:5" ht="18.75" x14ac:dyDescent="0.25">
      <c r="B36" s="3" t="str">
        <f>Links!B36</f>
        <v>الخبرات العمالية ( بلوك) - مقيد</v>
      </c>
      <c r="C36" s="15" t="str">
        <f>Links!C36</f>
        <v>Mokaid</v>
      </c>
      <c r="D36" s="2" t="str">
        <f>Links!G36</f>
        <v>M34-B</v>
      </c>
      <c r="E36" s="1"/>
    </row>
    <row r="37" spans="2:5" ht="18.75" x14ac:dyDescent="0.25">
      <c r="B37" s="3" t="str">
        <f>Links!B37</f>
        <v>كمال- (بلوك)</v>
      </c>
      <c r="C37" s="15" t="str">
        <f>Links!C37</f>
        <v>Kamal</v>
      </c>
      <c r="D37" s="2" t="str">
        <f>Links!G37</f>
        <v>K35-B</v>
      </c>
      <c r="E37" s="1"/>
    </row>
    <row r="38" spans="2:5" ht="18.75" x14ac:dyDescent="0.25">
      <c r="B38" s="3" t="str">
        <f>Links!B38</f>
        <v>عبد الملك( بلوك) /شهباز</v>
      </c>
      <c r="C38" s="15" t="str">
        <f>Links!C38</f>
        <v>Abdelmalek / Shahbaz</v>
      </c>
      <c r="D38" s="2" t="str">
        <f>Links!G38</f>
        <v>A36-B</v>
      </c>
      <c r="E38" s="1"/>
    </row>
    <row r="39" spans="2:5" ht="18.75" x14ac:dyDescent="0.25">
      <c r="B39" s="40" t="str">
        <f>Links!B39</f>
        <v>مالك( بلوك) ( لاغى)</v>
      </c>
      <c r="C39" s="41" t="str">
        <f>Links!C39</f>
        <v>Malek</v>
      </c>
      <c r="D39" s="42" t="str">
        <f>Links!G39</f>
        <v>M37-B</v>
      </c>
      <c r="E39" s="1"/>
    </row>
    <row r="40" spans="2:5" ht="18.75" x14ac:dyDescent="0.25">
      <c r="B40" s="3" t="str">
        <f>Links!B40</f>
        <v>محمد محى (كاش)(أكبر)</v>
      </c>
      <c r="C40" s="16" t="str">
        <f>Links!C40</f>
        <v>Mohamed Mohy</v>
      </c>
      <c r="D40" s="2" t="str">
        <f>Links!G40</f>
        <v>M38-MEP</v>
      </c>
      <c r="E40" s="1"/>
    </row>
    <row r="41" spans="2:5" ht="18.75" x14ac:dyDescent="0.25">
      <c r="B41" s="5">
        <f>Links!B41</f>
        <v>0</v>
      </c>
      <c r="C41" s="15">
        <f>Links!C41</f>
        <v>0</v>
      </c>
      <c r="D41" s="4">
        <f>Links!G41</f>
        <v>0</v>
      </c>
    </row>
    <row r="42" spans="2:5" ht="18.75" x14ac:dyDescent="0.25">
      <c r="B42" s="3" t="str">
        <f>Links!B42</f>
        <v>أحمد عصام ( نجار)</v>
      </c>
      <c r="C42" s="15" t="str">
        <f>Links!C42</f>
        <v>Ahmed Essam</v>
      </c>
      <c r="D42" s="2" t="str">
        <f>Links!G42</f>
        <v>A40</v>
      </c>
    </row>
    <row r="43" spans="2:5" ht="18.75" x14ac:dyDescent="0.25">
      <c r="B43" s="3" t="str">
        <f>Links!B43</f>
        <v>حسين ( نجار )</v>
      </c>
      <c r="C43" s="15" t="str">
        <f>Links!C43</f>
        <v xml:space="preserve">Hussain </v>
      </c>
      <c r="D43" s="2" t="str">
        <f>Links!G43</f>
        <v>H41</v>
      </c>
    </row>
    <row r="44" spans="2:5" ht="18.75" x14ac:dyDescent="0.25">
      <c r="B44" s="3" t="str">
        <f>Links!B44</f>
        <v>مصطفى (لاغى)</v>
      </c>
      <c r="C44" s="15" t="str">
        <f>Links!C44</f>
        <v>Mustafa</v>
      </c>
      <c r="D44" s="2" t="str">
        <f>Links!G44</f>
        <v>M42</v>
      </c>
    </row>
    <row r="45" spans="2:5" ht="18.75" x14ac:dyDescent="0.25">
      <c r="B45" s="3" t="str">
        <f>Links!B45</f>
        <v xml:space="preserve">احمد العجوز ( حداد ) </v>
      </c>
      <c r="C45" s="15" t="str">
        <f>Links!C45</f>
        <v>Ahmed Al Agoz</v>
      </c>
      <c r="D45" s="2" t="str">
        <f>Links!G45</f>
        <v>A45</v>
      </c>
    </row>
    <row r="46" spans="2:5" ht="18.75" x14ac:dyDescent="0.25">
      <c r="B46" s="3" t="str">
        <f>Links!B46</f>
        <v xml:space="preserve">أحمد عبد العظيم </v>
      </c>
      <c r="C46" s="15" t="str">
        <f>Links!C46</f>
        <v xml:space="preserve">Ahmed Abdulazim </v>
      </c>
      <c r="D46" s="2" t="str">
        <f>Links!G46</f>
        <v>A46</v>
      </c>
    </row>
    <row r="47" spans="2:5" ht="18.75" x14ac:dyDescent="0.25">
      <c r="B47" s="3" t="str">
        <f>Links!B47</f>
        <v>جمال الباجورى (كاش)</v>
      </c>
      <c r="C47" s="15" t="str">
        <f>Links!C47</f>
        <v xml:space="preserve">Gamal Elbagory </v>
      </c>
      <c r="D47" s="2" t="str">
        <f>Links!G47</f>
        <v>G45-Mep</v>
      </c>
    </row>
    <row r="48" spans="2:5" ht="18.75" x14ac:dyDescent="0.25">
      <c r="B48" s="3" t="str">
        <f>Links!B48</f>
        <v>شمس الحديثة (حوالة )</v>
      </c>
      <c r="C48" s="15" t="str">
        <f>Links!C48</f>
        <v>Shams Elhditha</v>
      </c>
      <c r="D48" s="2" t="str">
        <f>Links!G48</f>
        <v>S46-Mep</v>
      </c>
    </row>
    <row r="49" spans="2:4" ht="18.75" x14ac:dyDescent="0.25">
      <c r="B49" s="3" t="str">
        <f>Links!B49</f>
        <v>محمد مجاهد ( حداد )</v>
      </c>
      <c r="C49" s="15" t="str">
        <f>Links!C49</f>
        <v>Mohamed Mejahed .</v>
      </c>
      <c r="D49" s="2" t="str">
        <f>Links!G49</f>
        <v>M47</v>
      </c>
    </row>
    <row r="50" spans="2:4" ht="18.75" x14ac:dyDescent="0.25">
      <c r="B50" s="3" t="str">
        <f>Links!B50</f>
        <v xml:space="preserve">محمد حمادة ( نجار +حداد) لاغى  </v>
      </c>
      <c r="C50" s="15" t="str">
        <f>Links!C50</f>
        <v xml:space="preserve">Mohamed Hamada </v>
      </c>
      <c r="D50" s="2" t="str">
        <f>Links!G50</f>
        <v>M48</v>
      </c>
    </row>
    <row r="51" spans="2:4" ht="18.75" x14ac:dyDescent="0.25">
      <c r="B51" s="3" t="str">
        <f>Links!B51</f>
        <v xml:space="preserve">مصطفى ( حداد ) </v>
      </c>
      <c r="C51" s="15" t="str">
        <f>Links!C51</f>
        <v xml:space="preserve">Mostafa </v>
      </c>
      <c r="D51" s="2" t="str">
        <f>Links!G51</f>
        <v>M49</v>
      </c>
    </row>
    <row r="52" spans="2:4" ht="18.75" x14ac:dyDescent="0.25">
      <c r="B52" s="3" t="str">
        <f>Links!B52</f>
        <v>خيرى ( حدادة + نجارة )</v>
      </c>
      <c r="C52" s="15" t="str">
        <f>Links!C52</f>
        <v>khairy</v>
      </c>
      <c r="D52" s="2" t="str">
        <f>Links!G52</f>
        <v>k50</v>
      </c>
    </row>
    <row r="53" spans="2:4" ht="18.75" x14ac:dyDescent="0.25">
      <c r="B53" s="3" t="str">
        <f>Links!B53</f>
        <v>محمد الحلبى ( حداد )</v>
      </c>
      <c r="C53" s="15" t="str">
        <f>Links!C53</f>
        <v>Mohamed Elhalaby</v>
      </c>
      <c r="D53" s="2" t="str">
        <f>Links!G53</f>
        <v>M51</v>
      </c>
    </row>
    <row r="54" spans="2:4" ht="18.75" x14ac:dyDescent="0.25">
      <c r="B54" s="3" t="str">
        <f>Links!B54</f>
        <v>افتخار  ( بلوك ) ( طارق)</v>
      </c>
      <c r="C54" s="15" t="str">
        <f>Links!C54</f>
        <v>Eftekhar ( Tarek )</v>
      </c>
      <c r="D54" s="2" t="str">
        <f>Links!G54</f>
        <v>E52-B</v>
      </c>
    </row>
    <row r="55" spans="2:4" ht="18.75" x14ac:dyDescent="0.25">
      <c r="B55" s="3" t="str">
        <f>Links!B55</f>
        <v>سامى ( بلوك )</v>
      </c>
      <c r="C55" s="15" t="str">
        <f>Links!C55</f>
        <v>Sami</v>
      </c>
      <c r="D55" s="2" t="str">
        <f>Links!G55</f>
        <v>S53-B</v>
      </c>
    </row>
    <row r="56" spans="2:4" ht="18.75" x14ac:dyDescent="0.25">
      <c r="B56" s="3" t="str">
        <f>Links!B56</f>
        <v xml:space="preserve">عطية ( حداد ) </v>
      </c>
      <c r="C56" s="15" t="str">
        <f>Links!C56</f>
        <v xml:space="preserve">Attia </v>
      </c>
      <c r="D56" s="2" t="str">
        <f>Links!G56</f>
        <v>A54</v>
      </c>
    </row>
    <row r="57" spans="2:4" ht="18.75" x14ac:dyDescent="0.25">
      <c r="B57" s="3" t="str">
        <f>Links!B57</f>
        <v>أحمد المدنى ( حداد )</v>
      </c>
      <c r="C57" s="15" t="str">
        <f>Links!C57</f>
        <v>Ahmed Elmidany</v>
      </c>
      <c r="D57" s="2" t="str">
        <f>Links!G57</f>
        <v>A55</v>
      </c>
    </row>
    <row r="58" spans="2:4" ht="18.75" x14ac:dyDescent="0.25">
      <c r="B58" s="3" t="str">
        <f>Links!B58</f>
        <v>أسامة ( مليس )</v>
      </c>
      <c r="C58" s="15" t="str">
        <f>Links!C58</f>
        <v xml:space="preserve">Osama </v>
      </c>
      <c r="D58" s="2" t="str">
        <f>Links!G58</f>
        <v>O56-P</v>
      </c>
    </row>
    <row r="59" spans="2:4" ht="18.75" x14ac:dyDescent="0.25">
      <c r="B59" s="3" t="str">
        <f>Links!B59</f>
        <v>اسلام خان ( مليس )</v>
      </c>
      <c r="C59" s="15" t="str">
        <f>Links!C59</f>
        <v>Eslam</v>
      </c>
      <c r="D59" s="2" t="str">
        <f>Links!G59</f>
        <v>E57-P</v>
      </c>
    </row>
    <row r="60" spans="2:4" ht="18.75" x14ac:dyDescent="0.25">
      <c r="B60" s="3" t="str">
        <f>Links!B60</f>
        <v>فازان ( مليس )</v>
      </c>
      <c r="C60" s="15" t="str">
        <f>Links!C60</f>
        <v>Fazan</v>
      </c>
      <c r="D60" s="2" t="str">
        <f>Links!G60</f>
        <v>F58-P</v>
      </c>
    </row>
    <row r="61" spans="2:4" ht="18.75" x14ac:dyDescent="0.25">
      <c r="B61" s="3" t="str">
        <f>Links!B61</f>
        <v>شهباز ( مليس)( عبد الملك)</v>
      </c>
      <c r="C61" s="15" t="str">
        <f>Links!C61</f>
        <v>Shahbaz</v>
      </c>
      <c r="D61" s="2" t="str">
        <f>Links!G61</f>
        <v>S59-P</v>
      </c>
    </row>
    <row r="62" spans="2:4" ht="18.75" x14ac:dyDescent="0.25">
      <c r="B62" s="3" t="str">
        <f>Links!B62</f>
        <v>احمد ذكى ( جبس )</v>
      </c>
      <c r="C62" s="15" t="str">
        <f>Links!C62</f>
        <v>Ahmed Zaki</v>
      </c>
      <c r="D62" s="2" t="str">
        <f>Links!G62</f>
        <v>A60-C</v>
      </c>
    </row>
    <row r="63" spans="2:4" ht="18.75" x14ac:dyDescent="0.25">
      <c r="B63" s="3" t="str">
        <f>Links!B63</f>
        <v>شهباز ( MEP ) (حوالة)</v>
      </c>
      <c r="C63" s="15" t="str">
        <f>Links!C63</f>
        <v>Shahbaz Mep</v>
      </c>
      <c r="D63" s="2" t="str">
        <f>Links!G63</f>
        <v>S61-Mep</v>
      </c>
    </row>
    <row r="64" spans="2:4" ht="18.75" x14ac:dyDescent="0.25">
      <c r="B64" s="3" t="str">
        <f>Links!B64</f>
        <v>عارف (MEP) (كاش)</v>
      </c>
      <c r="C64" s="15" t="str">
        <f>Links!C64</f>
        <v>Aref</v>
      </c>
      <c r="D64" s="2" t="str">
        <f>Links!G64</f>
        <v>A62-Mep</v>
      </c>
    </row>
    <row r="65" spans="2:4" ht="18.75" x14ac:dyDescent="0.25">
      <c r="B65" s="3" t="str">
        <f>Links!B65</f>
        <v>كاشير خان  ( بلوك )</v>
      </c>
      <c r="C65" s="15" t="str">
        <f>Links!C65</f>
        <v>Kasher Khan</v>
      </c>
      <c r="D65" s="2" t="str">
        <f>Links!G65</f>
        <v>K63-B</v>
      </c>
    </row>
    <row r="66" spans="2:4" ht="18.75" x14ac:dyDescent="0.25">
      <c r="B66" s="3" t="str">
        <f>Links!B66</f>
        <v>أبو ياسين ( حداد )</v>
      </c>
      <c r="C66" s="15" t="str">
        <f>Links!C66</f>
        <v>Abo Yassin</v>
      </c>
      <c r="D66" s="2" t="str">
        <f>Links!G66</f>
        <v>A64</v>
      </c>
    </row>
    <row r="67" spans="2:4" ht="18.75" x14ac:dyDescent="0.25">
      <c r="B67" s="3" t="str">
        <f>Links!B67</f>
        <v>صالح (شدة معدنية)</v>
      </c>
      <c r="C67" s="15" t="str">
        <f>Links!C67</f>
        <v xml:space="preserve">Saleh </v>
      </c>
      <c r="D67" s="2" t="str">
        <f>Links!G67</f>
        <v>S65</v>
      </c>
    </row>
    <row r="68" spans="2:4" ht="18.75" x14ac:dyDescent="0.25">
      <c r="B68" s="3" t="str">
        <f>Links!B68</f>
        <v>زى شان (بلوك)</v>
      </c>
      <c r="C68" s="15" t="str">
        <f>Links!C68</f>
        <v>Ze Shan</v>
      </c>
      <c r="D68" s="2" t="str">
        <f>Links!G68</f>
        <v>Z66-B</v>
      </c>
    </row>
    <row r="69" spans="2:4" ht="18.75" x14ac:dyDescent="0.25">
      <c r="B69" s="3" t="str">
        <f>Links!B69</f>
        <v>فهد معدات ( كور)</v>
      </c>
      <c r="C69" s="15" t="str">
        <f>Links!C69</f>
        <v>Fahd</v>
      </c>
      <c r="D69" s="2" t="str">
        <f>Links!G69</f>
        <v>F67-Mep</v>
      </c>
    </row>
    <row r="70" spans="2:4" ht="18.75" x14ac:dyDescent="0.25">
      <c r="B70" s="3" t="str">
        <f>Links!B70</f>
        <v>على قنديل (بلوك) - وليد شعبان</v>
      </c>
      <c r="C70" s="15" t="str">
        <f>Links!C70</f>
        <v>Ali Kandel</v>
      </c>
      <c r="D70" s="2" t="str">
        <f>Links!G70</f>
        <v>A68-B</v>
      </c>
    </row>
    <row r="71" spans="2:4" ht="18.75" x14ac:dyDescent="0.25">
      <c r="B71" s="3" t="str">
        <f>Links!B71</f>
        <v>مؤسسه ورود حسن الكحيليني</v>
      </c>
      <c r="C71" s="15" t="str">
        <f>Links!C71</f>
        <v>Worod Hassan Al-Kahilini</v>
      </c>
      <c r="D71" s="2" t="str">
        <f>Links!G71</f>
        <v>W69-B</v>
      </c>
    </row>
    <row r="72" spans="2:4" ht="18.75" x14ac:dyDescent="0.25">
      <c r="B72" s="3" t="str">
        <f>Links!B72</f>
        <v>كاشير خان  (مليس)</v>
      </c>
      <c r="C72" s="15" t="str">
        <f>Links!C72</f>
        <v>Kasher Khan</v>
      </c>
      <c r="D72" s="2" t="str">
        <f>Links!G72</f>
        <v>K70-P</v>
      </c>
    </row>
    <row r="73" spans="2:4" ht="18.75" x14ac:dyDescent="0.25">
      <c r="B73" s="3" t="str">
        <f>Links!B73</f>
        <v>رفعت (مليس)</v>
      </c>
      <c r="C73" s="15" t="str">
        <f>Links!C73</f>
        <v xml:space="preserve">Refat </v>
      </c>
      <c r="D73" s="2" t="str">
        <f>Links!G73</f>
        <v>R71-P</v>
      </c>
    </row>
    <row r="74" spans="2:4" ht="18.75" x14ac:dyDescent="0.25">
      <c r="B74" s="3" t="str">
        <f>Links!B74</f>
        <v>ياسر (دهان)</v>
      </c>
      <c r="C74" s="15" t="str">
        <f>Links!C74</f>
        <v>Yasser</v>
      </c>
      <c r="D74" s="2" t="str">
        <f>Links!G74</f>
        <v>Y72-PA</v>
      </c>
    </row>
    <row r="75" spans="2:4" ht="18.75" x14ac:dyDescent="0.25">
      <c r="B75" s="3" t="str">
        <f>Links!B75</f>
        <v>أكبر ( سباك)(لاغى)</v>
      </c>
      <c r="C75" s="15" t="str">
        <f>Links!C75</f>
        <v>Akbar</v>
      </c>
      <c r="D75" s="2" t="str">
        <f>Links!G75</f>
        <v>A73-MEP</v>
      </c>
    </row>
    <row r="76" spans="2:4" ht="18.75" x14ac:dyDescent="0.25">
      <c r="B76" s="3" t="str">
        <f>Links!B76</f>
        <v>تبيان (MEP)</v>
      </c>
      <c r="C76" s="15" t="str">
        <f>Links!C76</f>
        <v>Tebian</v>
      </c>
      <c r="D76" s="2" t="str">
        <f>Links!G76</f>
        <v>T74-MEP</v>
      </c>
    </row>
    <row r="77" spans="2:4" ht="18.75" x14ac:dyDescent="0.25">
      <c r="B77" s="3" t="str">
        <f>Links!B77</f>
        <v>مزمل (MEP)</v>
      </c>
      <c r="C77" s="15" t="str">
        <f>Links!C77</f>
        <v>Muzamil</v>
      </c>
      <c r="D77" s="2" t="str">
        <f>Links!G77</f>
        <v>M75-MEP</v>
      </c>
    </row>
    <row r="78" spans="2:4" ht="18.75" x14ac:dyDescent="0.25">
      <c r="B78" s="3" t="str">
        <f>Links!B78</f>
        <v>محمد يونس (مليس)</v>
      </c>
      <c r="C78" s="15" t="str">
        <f>Links!C78</f>
        <v>Mohamed Yonis</v>
      </c>
      <c r="D78" s="2" t="str">
        <f>Links!G78</f>
        <v>M76-P</v>
      </c>
    </row>
    <row r="79" spans="2:4" ht="18.75" x14ac:dyDescent="0.25">
      <c r="B79" s="3" t="str">
        <f>Links!B79</f>
        <v>إيمان راشد للمقاولات ( تشطيبات)</v>
      </c>
      <c r="C79" s="15" t="str">
        <f>Links!C79</f>
        <v xml:space="preserve">Eman Rashid </v>
      </c>
      <c r="D79" s="2" t="str">
        <f>Links!G79</f>
        <v>E77</v>
      </c>
    </row>
    <row r="80" spans="2:4" ht="18.75" x14ac:dyDescent="0.25">
      <c r="B80" s="3" t="str">
        <f>Links!B80</f>
        <v>التراث الشرقى</v>
      </c>
      <c r="C80" s="15" t="str">
        <f>Links!C80</f>
        <v>Turath El Sharki</v>
      </c>
      <c r="D80" s="2" t="str">
        <f>Links!G80</f>
        <v>T78</v>
      </c>
    </row>
    <row r="81" spans="2:4" ht="18.75" x14ac:dyDescent="0.25">
      <c r="B81" s="3" t="str">
        <f>Links!B81</f>
        <v>نسر مصر (MEP)</v>
      </c>
      <c r="C81" s="15" t="str">
        <f>Links!C81</f>
        <v>Egypt’s Eagle</v>
      </c>
      <c r="D81" s="2" t="str">
        <f>Links!G81</f>
        <v>E79-MEP</v>
      </c>
    </row>
    <row r="82" spans="2:4" ht="18.75" x14ac:dyDescent="0.25">
      <c r="B82" s="3">
        <f>Links!B82</f>
        <v>0</v>
      </c>
      <c r="C82" s="15">
        <f>Links!C82</f>
        <v>0</v>
      </c>
      <c r="D82" s="2">
        <f>Links!G82</f>
        <v>0</v>
      </c>
    </row>
    <row r="83" spans="2:4" ht="18.75" x14ac:dyDescent="0.25">
      <c r="B83" s="3">
        <f>Links!B83</f>
        <v>0</v>
      </c>
      <c r="C83" s="15">
        <f>Links!C83</f>
        <v>0</v>
      </c>
      <c r="D83" s="2">
        <f>Links!G83</f>
        <v>0</v>
      </c>
    </row>
    <row r="84" spans="2:4" ht="18.75" x14ac:dyDescent="0.25">
      <c r="B84" s="3">
        <f>Links!B84</f>
        <v>0</v>
      </c>
      <c r="C84" s="15">
        <f>Links!C84</f>
        <v>0</v>
      </c>
      <c r="D84" s="2">
        <f>Links!G84</f>
        <v>0</v>
      </c>
    </row>
    <row r="85" spans="2:4" ht="18.75" x14ac:dyDescent="0.25">
      <c r="B85" s="3">
        <f>Links!B85</f>
        <v>0</v>
      </c>
      <c r="C85" s="15">
        <f>Links!C85</f>
        <v>0</v>
      </c>
      <c r="D85" s="2">
        <f>Links!G85</f>
        <v>0</v>
      </c>
    </row>
    <row r="86" spans="2:4" ht="18.75" x14ac:dyDescent="0.25">
      <c r="B86" s="3">
        <f>Links!B86</f>
        <v>0</v>
      </c>
      <c r="C86" s="15">
        <f>Links!C86</f>
        <v>0</v>
      </c>
      <c r="D86" s="2">
        <f>Links!G86</f>
        <v>0</v>
      </c>
    </row>
    <row r="87" spans="2:4" ht="18.75" x14ac:dyDescent="0.25">
      <c r="B87" s="3">
        <f>Links!B87</f>
        <v>0</v>
      </c>
      <c r="C87" s="15">
        <f>Links!C87</f>
        <v>0</v>
      </c>
      <c r="D87" s="2">
        <f>Links!G87</f>
        <v>0</v>
      </c>
    </row>
    <row r="88" spans="2:4" ht="18.75" x14ac:dyDescent="0.25">
      <c r="B88" s="3">
        <f>Links!B88</f>
        <v>0</v>
      </c>
      <c r="C88" s="15">
        <f>Links!C88</f>
        <v>0</v>
      </c>
      <c r="D88" s="2">
        <f>Links!G88</f>
        <v>0</v>
      </c>
    </row>
    <row r="89" spans="2:4" ht="18.75" x14ac:dyDescent="0.25">
      <c r="B89" s="3">
        <f>Links!B89</f>
        <v>0</v>
      </c>
      <c r="C89" s="15">
        <f>Links!C89</f>
        <v>0</v>
      </c>
      <c r="D89" s="2">
        <f>Links!G89</f>
        <v>0</v>
      </c>
    </row>
    <row r="90" spans="2:4" ht="18.75" x14ac:dyDescent="0.25">
      <c r="B90" s="3">
        <f>Links!B90</f>
        <v>0</v>
      </c>
      <c r="C90" s="15">
        <f>Links!C90</f>
        <v>0</v>
      </c>
      <c r="D90" s="2">
        <f>Links!G90</f>
        <v>0</v>
      </c>
    </row>
    <row r="91" spans="2:4" ht="18.75" x14ac:dyDescent="0.25">
      <c r="B91" s="3">
        <f>Links!B91</f>
        <v>0</v>
      </c>
      <c r="C91" s="15">
        <f>Links!C91</f>
        <v>0</v>
      </c>
      <c r="D91" s="2">
        <f>Links!G91</f>
        <v>0</v>
      </c>
    </row>
    <row r="92" spans="2:4" ht="18.75" x14ac:dyDescent="0.25">
      <c r="B92" s="3">
        <f>Links!B92</f>
        <v>0</v>
      </c>
      <c r="C92" s="15">
        <f>Links!C92</f>
        <v>0</v>
      </c>
      <c r="D92" s="2">
        <f>Links!G92</f>
        <v>0</v>
      </c>
    </row>
    <row r="93" spans="2:4" ht="18.75" x14ac:dyDescent="0.25">
      <c r="B93" s="3">
        <f>Links!B93</f>
        <v>0</v>
      </c>
      <c r="C93" s="15">
        <f>Links!C93</f>
        <v>0</v>
      </c>
      <c r="D93" s="2">
        <f>Links!G93</f>
        <v>0</v>
      </c>
    </row>
    <row r="94" spans="2:4" ht="18.75" x14ac:dyDescent="0.25">
      <c r="B94" s="3">
        <f>Links!B94</f>
        <v>0</v>
      </c>
      <c r="C94" s="15">
        <f>Links!C94</f>
        <v>0</v>
      </c>
      <c r="D94" s="2">
        <f>Links!G94</f>
        <v>0</v>
      </c>
    </row>
    <row r="95" spans="2:4" ht="18.75" x14ac:dyDescent="0.25">
      <c r="B95" s="3">
        <f>Links!B95</f>
        <v>0</v>
      </c>
      <c r="C95" s="15">
        <f>Links!C95</f>
        <v>0</v>
      </c>
      <c r="D95" s="2">
        <f>Links!G95</f>
        <v>0</v>
      </c>
    </row>
    <row r="96" spans="2:4" ht="18.75" x14ac:dyDescent="0.25">
      <c r="B96" s="3">
        <f>Links!B96</f>
        <v>0</v>
      </c>
      <c r="C96" s="15">
        <f>Links!C96</f>
        <v>0</v>
      </c>
      <c r="D96" s="2">
        <f>Links!G96</f>
        <v>0</v>
      </c>
    </row>
    <row r="97" spans="2:4" ht="18.75" x14ac:dyDescent="0.25">
      <c r="B97" s="3">
        <f>Links!B97</f>
        <v>0</v>
      </c>
      <c r="C97" s="15">
        <f>Links!C97</f>
        <v>0</v>
      </c>
      <c r="D97" s="2">
        <f>Links!G97</f>
        <v>0</v>
      </c>
    </row>
    <row r="98" spans="2:4" ht="18.75" x14ac:dyDescent="0.25">
      <c r="B98" s="3">
        <f>Links!B98</f>
        <v>0</v>
      </c>
      <c r="C98" s="15">
        <f>Links!C98</f>
        <v>0</v>
      </c>
      <c r="D98" s="2">
        <f>Links!G98</f>
        <v>0</v>
      </c>
    </row>
    <row r="99" spans="2:4" ht="18.75" x14ac:dyDescent="0.25">
      <c r="B99" s="3">
        <f>Links!B99</f>
        <v>0</v>
      </c>
      <c r="C99" s="15">
        <f>Links!C99</f>
        <v>0</v>
      </c>
      <c r="D99" s="2">
        <f>Links!G99</f>
        <v>0</v>
      </c>
    </row>
    <row r="100" spans="2:4" ht="18.75" x14ac:dyDescent="0.25">
      <c r="B100" s="3">
        <f>Links!B100</f>
        <v>0</v>
      </c>
      <c r="C100" s="15">
        <f>Links!C100</f>
        <v>0</v>
      </c>
      <c r="D100" s="2">
        <f>Links!G100</f>
        <v>0</v>
      </c>
    </row>
    <row r="101" spans="2:4" ht="18.75" x14ac:dyDescent="0.25">
      <c r="B101" s="3">
        <f>Links!B101</f>
        <v>0</v>
      </c>
      <c r="C101" s="15">
        <f>Links!C101</f>
        <v>0</v>
      </c>
      <c r="D101" s="2">
        <f>Links!G101</f>
        <v>0</v>
      </c>
    </row>
    <row r="102" spans="2:4" ht="18.75" x14ac:dyDescent="0.25">
      <c r="B102" s="3">
        <f>Links!B102</f>
        <v>0</v>
      </c>
      <c r="C102" s="15">
        <f>Links!C102</f>
        <v>0</v>
      </c>
      <c r="D102" s="2">
        <f>Links!G102</f>
        <v>0</v>
      </c>
    </row>
    <row r="103" spans="2:4" ht="18.75" x14ac:dyDescent="0.25">
      <c r="B103" s="3">
        <f>Links!B103</f>
        <v>0</v>
      </c>
      <c r="C103" s="15">
        <f>Links!C103</f>
        <v>0</v>
      </c>
      <c r="D103" s="2">
        <f>Links!G103</f>
        <v>0</v>
      </c>
    </row>
    <row r="104" spans="2:4" ht="18.75" x14ac:dyDescent="0.25">
      <c r="B104" s="3">
        <f>Links!B104</f>
        <v>0</v>
      </c>
      <c r="C104" s="15">
        <f>Links!C104</f>
        <v>0</v>
      </c>
      <c r="D104" s="2">
        <f>Links!G104</f>
        <v>0</v>
      </c>
    </row>
    <row r="105" spans="2:4" ht="18.75" x14ac:dyDescent="0.25">
      <c r="B105" s="3">
        <f>Links!B105</f>
        <v>0</v>
      </c>
      <c r="C105" s="15">
        <f>Links!C105</f>
        <v>0</v>
      </c>
      <c r="D105" s="2">
        <f>Links!G105</f>
        <v>0</v>
      </c>
    </row>
    <row r="106" spans="2:4" ht="18.75" x14ac:dyDescent="0.25">
      <c r="B106" s="3">
        <f>Links!B106</f>
        <v>0</v>
      </c>
      <c r="C106" s="15">
        <f>Links!C106</f>
        <v>0</v>
      </c>
      <c r="D106" s="2">
        <f>Links!G106</f>
        <v>0</v>
      </c>
    </row>
    <row r="107" spans="2:4" ht="18.75" x14ac:dyDescent="0.25">
      <c r="B107" s="3">
        <f>Links!B107</f>
        <v>0</v>
      </c>
      <c r="C107" s="15">
        <f>Links!C107</f>
        <v>0</v>
      </c>
      <c r="D107" s="2">
        <f>Links!G107</f>
        <v>0</v>
      </c>
    </row>
    <row r="108" spans="2:4" ht="18.75" x14ac:dyDescent="0.25">
      <c r="B108" s="3">
        <f>Links!B108</f>
        <v>0</v>
      </c>
      <c r="C108" s="15">
        <f>Links!C108</f>
        <v>0</v>
      </c>
      <c r="D108" s="2">
        <f>Links!G108</f>
        <v>0</v>
      </c>
    </row>
    <row r="109" spans="2:4" ht="18.75" x14ac:dyDescent="0.25">
      <c r="B109" s="3">
        <f>Links!B109</f>
        <v>0</v>
      </c>
      <c r="C109" s="15">
        <f>Links!C109</f>
        <v>0</v>
      </c>
      <c r="D109" s="2">
        <f>Links!G109</f>
        <v>0</v>
      </c>
    </row>
    <row r="110" spans="2:4" ht="18.75" x14ac:dyDescent="0.25">
      <c r="B110" s="3">
        <f>Links!B110</f>
        <v>0</v>
      </c>
      <c r="C110" s="15">
        <f>Links!C110</f>
        <v>0</v>
      </c>
      <c r="D110" s="2">
        <f>Links!G110</f>
        <v>0</v>
      </c>
    </row>
    <row r="111" spans="2:4" ht="18.75" x14ac:dyDescent="0.25">
      <c r="B111" s="3">
        <f>Links!B111</f>
        <v>0</v>
      </c>
      <c r="C111" s="15">
        <f>Links!C111</f>
        <v>0</v>
      </c>
      <c r="D111" s="2">
        <f>Links!G111</f>
        <v>0</v>
      </c>
    </row>
    <row r="112" spans="2:4" ht="18.75" x14ac:dyDescent="0.25">
      <c r="B112" s="3">
        <f>Links!B112</f>
        <v>0</v>
      </c>
      <c r="C112" s="15">
        <f>Links!C112</f>
        <v>0</v>
      </c>
      <c r="D112" s="2">
        <f>Links!G112</f>
        <v>0</v>
      </c>
    </row>
    <row r="113" spans="2:4" ht="18.75" x14ac:dyDescent="0.25">
      <c r="B113" s="3">
        <f>Links!B113</f>
        <v>0</v>
      </c>
      <c r="C113" s="15">
        <f>Links!C113</f>
        <v>0</v>
      </c>
      <c r="D113" s="2">
        <f>Links!G113</f>
        <v>0</v>
      </c>
    </row>
    <row r="114" spans="2:4" ht="18.75" x14ac:dyDescent="0.25">
      <c r="B114" s="3">
        <f>Links!B114</f>
        <v>0</v>
      </c>
      <c r="C114" s="15">
        <f>Links!C114</f>
        <v>0</v>
      </c>
      <c r="D114" s="2">
        <f>Links!G114</f>
        <v>0</v>
      </c>
    </row>
    <row r="115" spans="2:4" ht="18.75" x14ac:dyDescent="0.25">
      <c r="B115" s="3">
        <f>Links!B115</f>
        <v>0</v>
      </c>
      <c r="C115" s="15">
        <f>Links!C115</f>
        <v>0</v>
      </c>
      <c r="D115" s="2">
        <f>Links!G115</f>
        <v>0</v>
      </c>
    </row>
    <row r="116" spans="2:4" ht="18.75" x14ac:dyDescent="0.25">
      <c r="B116" s="3">
        <f>Links!B116</f>
        <v>0</v>
      </c>
      <c r="C116" s="15">
        <f>Links!C116</f>
        <v>0</v>
      </c>
      <c r="D116" s="2">
        <f>Links!G116</f>
        <v>0</v>
      </c>
    </row>
    <row r="117" spans="2:4" ht="18.75" x14ac:dyDescent="0.25">
      <c r="B117" s="3">
        <f>Links!B117</f>
        <v>0</v>
      </c>
      <c r="C117" s="15">
        <f>Links!C117</f>
        <v>0</v>
      </c>
      <c r="D117" s="2">
        <f>Links!G117</f>
        <v>0</v>
      </c>
    </row>
    <row r="118" spans="2:4" ht="18.75" x14ac:dyDescent="0.25">
      <c r="B118" s="3">
        <f>Links!B118</f>
        <v>0</v>
      </c>
      <c r="C118" s="15">
        <f>Links!C118</f>
        <v>0</v>
      </c>
      <c r="D118" s="2">
        <f>Links!G118</f>
        <v>0</v>
      </c>
    </row>
    <row r="119" spans="2:4" ht="18.75" x14ac:dyDescent="0.25">
      <c r="B119" s="3">
        <f>Links!B119</f>
        <v>0</v>
      </c>
      <c r="C119" s="15">
        <f>Links!C119</f>
        <v>0</v>
      </c>
      <c r="D119" s="2">
        <f>Links!G119</f>
        <v>0</v>
      </c>
    </row>
    <row r="120" spans="2:4" ht="18.75" x14ac:dyDescent="0.25">
      <c r="B120" s="3">
        <f>Links!B120</f>
        <v>0</v>
      </c>
      <c r="C120" s="15">
        <f>Links!C120</f>
        <v>0</v>
      </c>
      <c r="D120" s="2">
        <f>Links!G120</f>
        <v>0</v>
      </c>
    </row>
    <row r="121" spans="2:4" ht="18.75" x14ac:dyDescent="0.25">
      <c r="B121" s="3">
        <f>Links!B121</f>
        <v>0</v>
      </c>
      <c r="C121" s="15">
        <f>Links!C121</f>
        <v>0</v>
      </c>
      <c r="D121" s="2">
        <f>Links!G121</f>
        <v>0</v>
      </c>
    </row>
    <row r="122" spans="2:4" ht="18.75" x14ac:dyDescent="0.25">
      <c r="B122" s="3">
        <f>Links!B122</f>
        <v>0</v>
      </c>
      <c r="C122" s="15">
        <f>Links!C122</f>
        <v>0</v>
      </c>
      <c r="D122" s="2">
        <f>Links!G122</f>
        <v>0</v>
      </c>
    </row>
    <row r="123" spans="2:4" ht="18.75" x14ac:dyDescent="0.25">
      <c r="B123" s="3">
        <f>Links!B123</f>
        <v>0</v>
      </c>
      <c r="C123" s="15">
        <f>Links!C123</f>
        <v>0</v>
      </c>
      <c r="D123" s="2">
        <f>Links!G123</f>
        <v>0</v>
      </c>
    </row>
    <row r="124" spans="2:4" ht="18.75" x14ac:dyDescent="0.25">
      <c r="B124" s="3">
        <f>Links!B124</f>
        <v>0</v>
      </c>
      <c r="C124" s="15">
        <f>Links!C124</f>
        <v>0</v>
      </c>
      <c r="D124" s="2">
        <f>Links!G124</f>
        <v>0</v>
      </c>
    </row>
    <row r="125" spans="2:4" ht="18.75" x14ac:dyDescent="0.25">
      <c r="B125" s="3">
        <f>Links!B125</f>
        <v>0</v>
      </c>
      <c r="C125" s="15">
        <f>Links!C125</f>
        <v>0</v>
      </c>
      <c r="D125" s="2">
        <f>Links!G125</f>
        <v>0</v>
      </c>
    </row>
    <row r="126" spans="2:4" ht="18.75" x14ac:dyDescent="0.25">
      <c r="B126" s="3">
        <f>Links!B126</f>
        <v>0</v>
      </c>
      <c r="C126" s="15">
        <f>Links!C126</f>
        <v>0</v>
      </c>
      <c r="D126" s="2">
        <f>Links!G126</f>
        <v>0</v>
      </c>
    </row>
    <row r="127" spans="2:4" ht="18.75" x14ac:dyDescent="0.25">
      <c r="B127" s="3">
        <f>Links!B127</f>
        <v>0</v>
      </c>
      <c r="C127" s="15">
        <f>Links!C127</f>
        <v>0</v>
      </c>
      <c r="D127" s="2">
        <f>Links!G127</f>
        <v>0</v>
      </c>
    </row>
    <row r="128" spans="2:4" ht="18.75" x14ac:dyDescent="0.25">
      <c r="B128" s="3">
        <f>Links!B128</f>
        <v>0</v>
      </c>
      <c r="C128" s="15">
        <f>Links!C128</f>
        <v>0</v>
      </c>
      <c r="D128" s="2">
        <f>Links!G128</f>
        <v>0</v>
      </c>
    </row>
    <row r="129" spans="2:4" ht="18.75" x14ac:dyDescent="0.25">
      <c r="B129" s="3">
        <f>Links!B129</f>
        <v>0</v>
      </c>
      <c r="C129" s="15">
        <f>Links!C129</f>
        <v>0</v>
      </c>
      <c r="D129" s="2">
        <f>Links!G129</f>
        <v>0</v>
      </c>
    </row>
    <row r="130" spans="2:4" ht="18.75" x14ac:dyDescent="0.25">
      <c r="B130" s="3">
        <f>Links!B130</f>
        <v>0</v>
      </c>
      <c r="C130" s="15">
        <f>Links!C130</f>
        <v>0</v>
      </c>
      <c r="D130" s="2">
        <f>Links!G130</f>
        <v>0</v>
      </c>
    </row>
    <row r="131" spans="2:4" ht="18.75" x14ac:dyDescent="0.25">
      <c r="B131" s="3">
        <f>Links!B131</f>
        <v>0</v>
      </c>
      <c r="C131" s="15">
        <f>Links!C131</f>
        <v>0</v>
      </c>
      <c r="D131" s="2">
        <f>Links!G131</f>
        <v>0</v>
      </c>
    </row>
    <row r="132" spans="2:4" ht="18.75" x14ac:dyDescent="0.25">
      <c r="B132" s="3">
        <f>Links!B132</f>
        <v>0</v>
      </c>
      <c r="C132" s="15">
        <f>Links!C132</f>
        <v>0</v>
      </c>
      <c r="D132" s="2">
        <f>Links!G132</f>
        <v>0</v>
      </c>
    </row>
    <row r="133" spans="2:4" ht="18.75" x14ac:dyDescent="0.25">
      <c r="B133" s="3">
        <f>Links!B133</f>
        <v>0</v>
      </c>
      <c r="C133" s="15">
        <f>Links!C133</f>
        <v>0</v>
      </c>
      <c r="D133" s="2">
        <f>Links!G133</f>
        <v>0</v>
      </c>
    </row>
    <row r="134" spans="2:4" ht="18.75" x14ac:dyDescent="0.25">
      <c r="B134" s="3">
        <f>Links!B134</f>
        <v>0</v>
      </c>
      <c r="C134" s="15">
        <f>Links!C134</f>
        <v>0</v>
      </c>
      <c r="D134" s="2">
        <f>Links!G134</f>
        <v>0</v>
      </c>
    </row>
    <row r="135" spans="2:4" ht="18.75" x14ac:dyDescent="0.25">
      <c r="B135" s="3">
        <f>Links!B135</f>
        <v>0</v>
      </c>
      <c r="C135" s="15">
        <f>Links!C135</f>
        <v>0</v>
      </c>
      <c r="D135" s="2">
        <f>Links!G135</f>
        <v>0</v>
      </c>
    </row>
    <row r="136" spans="2:4" ht="18.75" x14ac:dyDescent="0.25">
      <c r="B136" s="3">
        <f>Links!B136</f>
        <v>0</v>
      </c>
      <c r="C136" s="15">
        <f>Links!C136</f>
        <v>0</v>
      </c>
      <c r="D136" s="2">
        <f>Links!G136</f>
        <v>0</v>
      </c>
    </row>
    <row r="137" spans="2:4" ht="18.75" x14ac:dyDescent="0.25">
      <c r="B137" s="3">
        <f>Links!B137</f>
        <v>0</v>
      </c>
      <c r="C137" s="15">
        <f>Links!C137</f>
        <v>0</v>
      </c>
      <c r="D137" s="2">
        <f>Links!G137</f>
        <v>0</v>
      </c>
    </row>
    <row r="138" spans="2:4" ht="18.75" x14ac:dyDescent="0.25">
      <c r="B138" s="3">
        <f>Links!B138</f>
        <v>0</v>
      </c>
      <c r="C138" s="15">
        <f>Links!C138</f>
        <v>0</v>
      </c>
      <c r="D138" s="2">
        <f>Links!G138</f>
        <v>0</v>
      </c>
    </row>
    <row r="139" spans="2:4" ht="18.75" x14ac:dyDescent="0.25">
      <c r="B139" s="3">
        <f>Links!B139</f>
        <v>0</v>
      </c>
      <c r="C139" s="15">
        <f>Links!C139</f>
        <v>0</v>
      </c>
      <c r="D139" s="2">
        <f>Links!G139</f>
        <v>0</v>
      </c>
    </row>
    <row r="140" spans="2:4" ht="18.75" x14ac:dyDescent="0.25">
      <c r="B140" s="3">
        <f>Links!B140</f>
        <v>0</v>
      </c>
      <c r="C140" s="15">
        <f>Links!C140</f>
        <v>0</v>
      </c>
      <c r="D140" s="2">
        <f>Links!G140</f>
        <v>0</v>
      </c>
    </row>
    <row r="141" spans="2:4" ht="18.75" x14ac:dyDescent="0.25">
      <c r="B141" s="3">
        <f>Links!B141</f>
        <v>0</v>
      </c>
      <c r="C141" s="15">
        <f>Links!C141</f>
        <v>0</v>
      </c>
      <c r="D141" s="2">
        <f>Links!G141</f>
        <v>0</v>
      </c>
    </row>
    <row r="142" spans="2:4" ht="18.75" x14ac:dyDescent="0.25">
      <c r="B142" s="3">
        <f>Links!B142</f>
        <v>0</v>
      </c>
      <c r="C142" s="15">
        <f>Links!C142</f>
        <v>0</v>
      </c>
      <c r="D142" s="2">
        <f>Links!G142</f>
        <v>0</v>
      </c>
    </row>
    <row r="143" spans="2:4" ht="18.75" x14ac:dyDescent="0.25">
      <c r="B143" s="3">
        <f>Links!B143</f>
        <v>0</v>
      </c>
      <c r="C143" s="15">
        <f>Links!C143</f>
        <v>0</v>
      </c>
      <c r="D143" s="2">
        <f>Links!G143</f>
        <v>0</v>
      </c>
    </row>
    <row r="144" spans="2:4" ht="18.75" x14ac:dyDescent="0.25">
      <c r="B144" s="3">
        <f>Links!B144</f>
        <v>0</v>
      </c>
      <c r="C144" s="15">
        <f>Links!C144</f>
        <v>0</v>
      </c>
      <c r="D144" s="2">
        <f>Links!G144</f>
        <v>0</v>
      </c>
    </row>
    <row r="145" spans="2:4" ht="18.75" x14ac:dyDescent="0.25">
      <c r="B145" s="3">
        <f>Links!B145</f>
        <v>0</v>
      </c>
      <c r="C145" s="15">
        <f>Links!C145</f>
        <v>0</v>
      </c>
      <c r="D145" s="2">
        <f>Links!G145</f>
        <v>0</v>
      </c>
    </row>
    <row r="146" spans="2:4" ht="18.75" x14ac:dyDescent="0.25">
      <c r="B146" s="3">
        <f>Links!B146</f>
        <v>0</v>
      </c>
      <c r="C146" s="15">
        <f>Links!C146</f>
        <v>0</v>
      </c>
      <c r="D146" s="2">
        <f>Links!G146</f>
        <v>0</v>
      </c>
    </row>
    <row r="147" spans="2:4" ht="18.75" x14ac:dyDescent="0.25">
      <c r="B147" s="3">
        <f>Links!B147</f>
        <v>0</v>
      </c>
      <c r="C147" s="15">
        <f>Links!C147</f>
        <v>0</v>
      </c>
      <c r="D147" s="2">
        <f>Links!G147</f>
        <v>0</v>
      </c>
    </row>
    <row r="148" spans="2:4" ht="18.75" x14ac:dyDescent="0.25">
      <c r="B148" s="3">
        <f>Links!B148</f>
        <v>0</v>
      </c>
      <c r="C148" s="15">
        <f>Links!C148</f>
        <v>0</v>
      </c>
      <c r="D148" s="2">
        <f>Links!G148</f>
        <v>0</v>
      </c>
    </row>
    <row r="149" spans="2:4" ht="18.75" x14ac:dyDescent="0.25">
      <c r="B149" s="3">
        <f>Links!B149</f>
        <v>0</v>
      </c>
      <c r="C149" s="15">
        <f>Links!C149</f>
        <v>0</v>
      </c>
      <c r="D149" s="2">
        <f>Links!G149</f>
        <v>0</v>
      </c>
    </row>
    <row r="150" spans="2:4" ht="18.75" x14ac:dyDescent="0.25">
      <c r="B150" s="3">
        <f>Links!B150</f>
        <v>0</v>
      </c>
      <c r="C150" s="15">
        <f>Links!C150</f>
        <v>0</v>
      </c>
      <c r="D150" s="2">
        <f>Links!G150</f>
        <v>0</v>
      </c>
    </row>
    <row r="151" spans="2:4" ht="18.75" x14ac:dyDescent="0.25">
      <c r="B151" s="3">
        <f>Links!B151</f>
        <v>0</v>
      </c>
      <c r="C151" s="15">
        <f>Links!C151</f>
        <v>0</v>
      </c>
      <c r="D151" s="2">
        <f>Links!G151</f>
        <v>0</v>
      </c>
    </row>
    <row r="152" spans="2:4" ht="18.75" x14ac:dyDescent="0.25">
      <c r="B152" s="3">
        <f>Links!B152</f>
        <v>0</v>
      </c>
      <c r="C152" s="15">
        <f>Links!C152</f>
        <v>0</v>
      </c>
      <c r="D152" s="2">
        <f>Links!G152</f>
        <v>0</v>
      </c>
    </row>
    <row r="153" spans="2:4" ht="18.75" x14ac:dyDescent="0.25">
      <c r="B153" s="3">
        <f>Links!B153</f>
        <v>0</v>
      </c>
      <c r="C153" s="15">
        <f>Links!C153</f>
        <v>0</v>
      </c>
      <c r="D153" s="2">
        <f>Links!G153</f>
        <v>0</v>
      </c>
    </row>
    <row r="154" spans="2:4" ht="18.75" x14ac:dyDescent="0.25">
      <c r="B154" s="3">
        <f>Links!B154</f>
        <v>0</v>
      </c>
      <c r="C154" s="15">
        <f>Links!C154</f>
        <v>0</v>
      </c>
      <c r="D154" s="2">
        <f>Links!G154</f>
        <v>0</v>
      </c>
    </row>
    <row r="155" spans="2:4" ht="18.75" x14ac:dyDescent="0.25">
      <c r="B155" s="3">
        <f>Links!B155</f>
        <v>0</v>
      </c>
      <c r="C155" s="15">
        <f>Links!C155</f>
        <v>0</v>
      </c>
      <c r="D155" s="2">
        <f>Links!G155</f>
        <v>0</v>
      </c>
    </row>
    <row r="156" spans="2:4" ht="18.75" x14ac:dyDescent="0.25">
      <c r="B156" s="3">
        <f>Links!B156</f>
        <v>0</v>
      </c>
      <c r="C156" s="15">
        <f>Links!C156</f>
        <v>0</v>
      </c>
      <c r="D156" s="2">
        <f>Links!G156</f>
        <v>0</v>
      </c>
    </row>
    <row r="157" spans="2:4" ht="18.75" x14ac:dyDescent="0.25">
      <c r="B157" s="3">
        <f>Links!B157</f>
        <v>0</v>
      </c>
      <c r="C157" s="15">
        <f>Links!C157</f>
        <v>0</v>
      </c>
      <c r="D157" s="2">
        <f>Links!G157</f>
        <v>0</v>
      </c>
    </row>
    <row r="158" spans="2:4" ht="18.75" x14ac:dyDescent="0.25">
      <c r="B158" s="3">
        <f>Links!B158</f>
        <v>0</v>
      </c>
      <c r="C158" s="15">
        <f>Links!C158</f>
        <v>0</v>
      </c>
      <c r="D158" s="2">
        <f>Links!G158</f>
        <v>0</v>
      </c>
    </row>
    <row r="159" spans="2:4" ht="18.75" x14ac:dyDescent="0.25">
      <c r="B159" s="3">
        <f>Links!B159</f>
        <v>0</v>
      </c>
      <c r="C159" s="15">
        <f>Links!C159</f>
        <v>0</v>
      </c>
      <c r="D159" s="2">
        <f>Links!G159</f>
        <v>0</v>
      </c>
    </row>
    <row r="160" spans="2:4" ht="18.75" x14ac:dyDescent="0.25">
      <c r="B160" s="3">
        <f>Links!B160</f>
        <v>0</v>
      </c>
      <c r="C160" s="15">
        <f>Links!C160</f>
        <v>0</v>
      </c>
      <c r="D160" s="2">
        <f>Links!G160</f>
        <v>0</v>
      </c>
    </row>
    <row r="161" spans="2:4" ht="18.75" x14ac:dyDescent="0.25">
      <c r="B161" s="3">
        <f>Links!B161</f>
        <v>0</v>
      </c>
      <c r="C161" s="15">
        <f>Links!C161</f>
        <v>0</v>
      </c>
      <c r="D161" s="2">
        <f>Links!G161</f>
        <v>0</v>
      </c>
    </row>
    <row r="162" spans="2:4" ht="18.75" x14ac:dyDescent="0.25">
      <c r="B162" s="3">
        <f>Links!B162</f>
        <v>0</v>
      </c>
      <c r="C162" s="15">
        <f>Links!C162</f>
        <v>0</v>
      </c>
      <c r="D162" s="2">
        <f>Links!G162</f>
        <v>0</v>
      </c>
    </row>
    <row r="163" spans="2:4" ht="18.75" x14ac:dyDescent="0.25">
      <c r="B163" s="3">
        <f>Links!B163</f>
        <v>0</v>
      </c>
      <c r="C163" s="15">
        <f>Links!C163</f>
        <v>0</v>
      </c>
      <c r="D163" s="2">
        <f>Links!G163</f>
        <v>0</v>
      </c>
    </row>
    <row r="164" spans="2:4" ht="18.75" x14ac:dyDescent="0.25">
      <c r="B164" s="3">
        <f>Links!B164</f>
        <v>0</v>
      </c>
      <c r="C164" s="15">
        <f>Links!C164</f>
        <v>0</v>
      </c>
      <c r="D164" s="2">
        <f>Links!G164</f>
        <v>0</v>
      </c>
    </row>
    <row r="165" spans="2:4" ht="18.75" x14ac:dyDescent="0.25">
      <c r="B165" s="3">
        <f>Links!B165</f>
        <v>0</v>
      </c>
      <c r="C165" s="15">
        <f>Links!C165</f>
        <v>0</v>
      </c>
      <c r="D165" s="2">
        <f>Links!G165</f>
        <v>0</v>
      </c>
    </row>
    <row r="166" spans="2:4" ht="18.75" x14ac:dyDescent="0.25">
      <c r="B166" s="3">
        <f>Links!B166</f>
        <v>0</v>
      </c>
      <c r="C166" s="15">
        <f>Links!C166</f>
        <v>0</v>
      </c>
      <c r="D166" s="2">
        <f>Links!G166</f>
        <v>0</v>
      </c>
    </row>
    <row r="167" spans="2:4" ht="18.75" x14ac:dyDescent="0.25">
      <c r="B167" s="3">
        <f>Links!B167</f>
        <v>0</v>
      </c>
      <c r="C167" s="15">
        <f>Links!C167</f>
        <v>0</v>
      </c>
      <c r="D167" s="2">
        <f>Links!G167</f>
        <v>0</v>
      </c>
    </row>
    <row r="168" spans="2:4" ht="18.75" x14ac:dyDescent="0.25">
      <c r="B168" s="3">
        <f>Links!B168</f>
        <v>0</v>
      </c>
      <c r="C168" s="15">
        <f>Links!C168</f>
        <v>0</v>
      </c>
      <c r="D168" s="2">
        <f>Links!G168</f>
        <v>0</v>
      </c>
    </row>
    <row r="169" spans="2:4" ht="18.75" x14ac:dyDescent="0.25">
      <c r="B169" s="3">
        <f>Links!B169</f>
        <v>0</v>
      </c>
      <c r="C169" s="15">
        <f>Links!C169</f>
        <v>0</v>
      </c>
      <c r="D169" s="2">
        <f>Links!G169</f>
        <v>0</v>
      </c>
    </row>
    <row r="170" spans="2:4" ht="18.75" x14ac:dyDescent="0.25">
      <c r="B170" s="3">
        <f>Links!B170</f>
        <v>0</v>
      </c>
      <c r="C170" s="15">
        <f>Links!C170</f>
        <v>0</v>
      </c>
      <c r="D170" s="2">
        <f>Links!G170</f>
        <v>0</v>
      </c>
    </row>
    <row r="171" spans="2:4" ht="18.75" x14ac:dyDescent="0.25">
      <c r="B171" s="3">
        <f>Links!B171</f>
        <v>0</v>
      </c>
      <c r="C171" s="15">
        <f>Links!C171</f>
        <v>0</v>
      </c>
      <c r="D171" s="2">
        <f>Links!G171</f>
        <v>0</v>
      </c>
    </row>
    <row r="172" spans="2:4" ht="18.75" x14ac:dyDescent="0.25">
      <c r="B172" s="3">
        <f>Links!B172</f>
        <v>0</v>
      </c>
      <c r="C172" s="15">
        <f>Links!C172</f>
        <v>0</v>
      </c>
      <c r="D172" s="2">
        <f>Links!G172</f>
        <v>0</v>
      </c>
    </row>
    <row r="173" spans="2:4" ht="18.75" x14ac:dyDescent="0.25">
      <c r="B173" s="3">
        <f>Links!B173</f>
        <v>0</v>
      </c>
      <c r="C173" s="15">
        <f>Links!C173</f>
        <v>0</v>
      </c>
      <c r="D173" s="2">
        <f>Links!G173</f>
        <v>0</v>
      </c>
    </row>
    <row r="174" spans="2:4" ht="18.75" x14ac:dyDescent="0.25">
      <c r="B174" s="3">
        <f>Links!B174</f>
        <v>0</v>
      </c>
      <c r="C174" s="15">
        <f>Links!C174</f>
        <v>0</v>
      </c>
      <c r="D174" s="2">
        <f>Links!G174</f>
        <v>0</v>
      </c>
    </row>
    <row r="175" spans="2:4" ht="18.75" x14ac:dyDescent="0.25">
      <c r="B175" s="3">
        <f>Links!B175</f>
        <v>0</v>
      </c>
      <c r="C175" s="15">
        <f>Links!C175</f>
        <v>0</v>
      </c>
      <c r="D175" s="2">
        <f>Links!G175</f>
        <v>0</v>
      </c>
    </row>
    <row r="176" spans="2:4" ht="18.75" x14ac:dyDescent="0.25">
      <c r="B176" s="3">
        <f>Links!B176</f>
        <v>0</v>
      </c>
      <c r="C176" s="15">
        <f>Links!C176</f>
        <v>0</v>
      </c>
      <c r="D176" s="2">
        <f>Links!G176</f>
        <v>0</v>
      </c>
    </row>
    <row r="177" spans="2:4" ht="18.75" x14ac:dyDescent="0.25">
      <c r="B177" s="3">
        <f>Links!B177</f>
        <v>0</v>
      </c>
      <c r="C177" s="15">
        <f>Links!C177</f>
        <v>0</v>
      </c>
      <c r="D177" s="2">
        <f>Links!G177</f>
        <v>0</v>
      </c>
    </row>
    <row r="178" spans="2:4" ht="18.75" x14ac:dyDescent="0.25">
      <c r="B178" s="3">
        <f>Links!B178</f>
        <v>0</v>
      </c>
      <c r="C178" s="15">
        <f>Links!C178</f>
        <v>0</v>
      </c>
      <c r="D178" s="2">
        <f>Links!G178</f>
        <v>0</v>
      </c>
    </row>
    <row r="179" spans="2:4" ht="18.75" x14ac:dyDescent="0.25">
      <c r="B179" s="3">
        <f>Links!B179</f>
        <v>0</v>
      </c>
      <c r="C179" s="15">
        <f>Links!C179</f>
        <v>0</v>
      </c>
      <c r="D179" s="2">
        <f>Links!G179</f>
        <v>0</v>
      </c>
    </row>
    <row r="180" spans="2:4" ht="18.75" x14ac:dyDescent="0.25">
      <c r="B180" s="3">
        <f>Links!B180</f>
        <v>0</v>
      </c>
      <c r="C180" s="15">
        <f>Links!C180</f>
        <v>0</v>
      </c>
      <c r="D180" s="2">
        <f>Links!G180</f>
        <v>0</v>
      </c>
    </row>
    <row r="181" spans="2:4" ht="18.75" x14ac:dyDescent="0.25">
      <c r="B181" s="3">
        <f>Links!B181</f>
        <v>0</v>
      </c>
      <c r="C181" s="15">
        <f>Links!C181</f>
        <v>0</v>
      </c>
      <c r="D181" s="2">
        <f>Links!G181</f>
        <v>0</v>
      </c>
    </row>
    <row r="182" spans="2:4" ht="18.75" x14ac:dyDescent="0.25">
      <c r="B182" s="3">
        <f>Links!B182</f>
        <v>0</v>
      </c>
      <c r="C182" s="15">
        <f>Links!C182</f>
        <v>0</v>
      </c>
      <c r="D182" s="2">
        <f>Links!G182</f>
        <v>0</v>
      </c>
    </row>
    <row r="183" spans="2:4" ht="18.75" x14ac:dyDescent="0.25">
      <c r="B183" s="3">
        <f>Links!B183</f>
        <v>0</v>
      </c>
      <c r="C183" s="15">
        <f>Links!C183</f>
        <v>0</v>
      </c>
      <c r="D183" s="2">
        <f>Links!G183</f>
        <v>0</v>
      </c>
    </row>
    <row r="184" spans="2:4" ht="18.75" x14ac:dyDescent="0.25">
      <c r="B184" s="3">
        <f>Links!B184</f>
        <v>0</v>
      </c>
      <c r="C184" s="15">
        <f>Links!C184</f>
        <v>0</v>
      </c>
      <c r="D184" s="2">
        <f>Links!G184</f>
        <v>0</v>
      </c>
    </row>
    <row r="185" spans="2:4" ht="18.75" x14ac:dyDescent="0.25">
      <c r="B185" s="3">
        <f>Links!B185</f>
        <v>0</v>
      </c>
      <c r="C185" s="15">
        <f>Links!C185</f>
        <v>0</v>
      </c>
      <c r="D185" s="2">
        <f>Links!G185</f>
        <v>0</v>
      </c>
    </row>
    <row r="186" spans="2:4" ht="18.75" x14ac:dyDescent="0.25">
      <c r="B186" s="3">
        <f>Links!B186</f>
        <v>0</v>
      </c>
      <c r="C186" s="15">
        <f>Links!C186</f>
        <v>0</v>
      </c>
      <c r="D186" s="2">
        <f>Links!G186</f>
        <v>0</v>
      </c>
    </row>
    <row r="187" spans="2:4" ht="18.75" x14ac:dyDescent="0.25">
      <c r="B187" s="3">
        <f>Links!B187</f>
        <v>0</v>
      </c>
      <c r="C187" s="15">
        <f>Links!C187</f>
        <v>0</v>
      </c>
      <c r="D187" s="2">
        <f>Links!G187</f>
        <v>0</v>
      </c>
    </row>
    <row r="188" spans="2:4" ht="18.75" x14ac:dyDescent="0.25">
      <c r="B188" s="3">
        <f>Links!B188</f>
        <v>0</v>
      </c>
      <c r="C188" s="15">
        <f>Links!C188</f>
        <v>0</v>
      </c>
      <c r="D188" s="2">
        <f>Links!G188</f>
        <v>0</v>
      </c>
    </row>
    <row r="189" spans="2:4" ht="18.75" x14ac:dyDescent="0.25">
      <c r="B189" s="3">
        <f>Links!B189</f>
        <v>0</v>
      </c>
      <c r="C189" s="15">
        <f>Links!C189</f>
        <v>0</v>
      </c>
      <c r="D189" s="2">
        <f>Links!G189</f>
        <v>0</v>
      </c>
    </row>
    <row r="190" spans="2:4" ht="18.75" x14ac:dyDescent="0.25">
      <c r="B190" s="3">
        <f>Links!B190</f>
        <v>0</v>
      </c>
      <c r="C190" s="15">
        <f>Links!C190</f>
        <v>0</v>
      </c>
      <c r="D190" s="2">
        <f>Links!G190</f>
        <v>0</v>
      </c>
    </row>
    <row r="191" spans="2:4" ht="18.75" x14ac:dyDescent="0.25">
      <c r="B191" s="3">
        <f>Links!B191</f>
        <v>0</v>
      </c>
      <c r="C191" s="15">
        <f>Links!C191</f>
        <v>0</v>
      </c>
      <c r="D191" s="2">
        <f>Links!G191</f>
        <v>0</v>
      </c>
    </row>
    <row r="192" spans="2:4" ht="18.75" x14ac:dyDescent="0.25">
      <c r="B192" s="3">
        <f>Links!B192</f>
        <v>0</v>
      </c>
      <c r="C192" s="15">
        <f>Links!C192</f>
        <v>0</v>
      </c>
      <c r="D192" s="2">
        <f>Links!G192</f>
        <v>0</v>
      </c>
    </row>
    <row r="193" spans="2:4" ht="18.75" x14ac:dyDescent="0.25">
      <c r="B193" s="3">
        <f>Links!B193</f>
        <v>0</v>
      </c>
      <c r="C193" s="15">
        <f>Links!C193</f>
        <v>0</v>
      </c>
      <c r="D193" s="2">
        <f>Links!G193</f>
        <v>0</v>
      </c>
    </row>
    <row r="194" spans="2:4" ht="18.75" x14ac:dyDescent="0.25">
      <c r="B194" s="3">
        <f>Links!B194</f>
        <v>0</v>
      </c>
      <c r="C194" s="15">
        <f>Links!C194</f>
        <v>0</v>
      </c>
      <c r="D194" s="2">
        <f>Links!G194</f>
        <v>0</v>
      </c>
    </row>
    <row r="195" spans="2:4" ht="18.75" x14ac:dyDescent="0.25">
      <c r="B195" s="3">
        <f>Links!B195</f>
        <v>0</v>
      </c>
      <c r="C195" s="15">
        <f>Links!C195</f>
        <v>0</v>
      </c>
      <c r="D195" s="2">
        <f>Links!G195</f>
        <v>0</v>
      </c>
    </row>
    <row r="196" spans="2:4" ht="18.75" x14ac:dyDescent="0.25">
      <c r="B196" s="3">
        <f>Links!B196</f>
        <v>0</v>
      </c>
      <c r="C196" s="15">
        <f>Links!C196</f>
        <v>0</v>
      </c>
      <c r="D196" s="2">
        <f>Links!G196</f>
        <v>0</v>
      </c>
    </row>
    <row r="197" spans="2:4" ht="18.75" x14ac:dyDescent="0.25">
      <c r="B197" s="3">
        <f>Links!B197</f>
        <v>0</v>
      </c>
      <c r="C197" s="15">
        <f>Links!C197</f>
        <v>0</v>
      </c>
      <c r="D197" s="2">
        <f>Links!G197</f>
        <v>0</v>
      </c>
    </row>
    <row r="198" spans="2:4" ht="18.75" x14ac:dyDescent="0.25">
      <c r="B198" s="3">
        <f>Links!B198</f>
        <v>0</v>
      </c>
      <c r="C198" s="15">
        <f>Links!C198</f>
        <v>0</v>
      </c>
      <c r="D198" s="2">
        <f>Links!G198</f>
        <v>0</v>
      </c>
    </row>
    <row r="199" spans="2:4" ht="18.75" x14ac:dyDescent="0.25">
      <c r="B199" s="3">
        <f>Links!B199</f>
        <v>0</v>
      </c>
      <c r="C199" s="15">
        <f>Links!C199</f>
        <v>0</v>
      </c>
      <c r="D199" s="2">
        <f>Links!G199</f>
        <v>0</v>
      </c>
    </row>
    <row r="200" spans="2:4" ht="18.75" x14ac:dyDescent="0.25">
      <c r="B200" s="3">
        <f>Links!B200</f>
        <v>0</v>
      </c>
      <c r="C200" s="15">
        <f>Links!C200</f>
        <v>0</v>
      </c>
      <c r="D200" s="2">
        <f>Links!G200</f>
        <v>0</v>
      </c>
    </row>
    <row r="201" spans="2:4" ht="18.75" x14ac:dyDescent="0.25">
      <c r="B201" s="3">
        <f>Links!B201</f>
        <v>0</v>
      </c>
      <c r="C201" s="15">
        <f>Links!C201</f>
        <v>0</v>
      </c>
      <c r="D201" s="2">
        <f>Links!G201</f>
        <v>0</v>
      </c>
    </row>
    <row r="202" spans="2:4" ht="18.75" x14ac:dyDescent="0.25">
      <c r="B202" s="3">
        <f>Links!B202</f>
        <v>0</v>
      </c>
      <c r="C202" s="15">
        <f>Links!C202</f>
        <v>0</v>
      </c>
      <c r="D202" s="2">
        <f>Links!G202</f>
        <v>0</v>
      </c>
    </row>
    <row r="203" spans="2:4" ht="18.75" x14ac:dyDescent="0.25">
      <c r="B203" s="3">
        <f>Links!B203</f>
        <v>0</v>
      </c>
      <c r="C203" s="15">
        <f>Links!C203</f>
        <v>0</v>
      </c>
      <c r="D203" s="2">
        <f>Links!G203</f>
        <v>0</v>
      </c>
    </row>
    <row r="204" spans="2:4" ht="18.75" x14ac:dyDescent="0.25">
      <c r="B204" s="3">
        <f>Links!B204</f>
        <v>0</v>
      </c>
      <c r="C204" s="15">
        <f>Links!C204</f>
        <v>0</v>
      </c>
      <c r="D204" s="2">
        <f>Links!G204</f>
        <v>0</v>
      </c>
    </row>
    <row r="205" spans="2:4" ht="18.75" x14ac:dyDescent="0.25">
      <c r="B205" s="3">
        <f>Links!B205</f>
        <v>0</v>
      </c>
      <c r="C205" s="15">
        <f>Links!C205</f>
        <v>0</v>
      </c>
      <c r="D205" s="2">
        <f>Links!G205</f>
        <v>0</v>
      </c>
    </row>
    <row r="206" spans="2:4" ht="18.75" x14ac:dyDescent="0.25">
      <c r="B206" s="3">
        <f>Links!B206</f>
        <v>0</v>
      </c>
      <c r="C206" s="15">
        <f>Links!C206</f>
        <v>0</v>
      </c>
      <c r="D206" s="2">
        <f>Links!G206</f>
        <v>0</v>
      </c>
    </row>
    <row r="207" spans="2:4" ht="18.75" x14ac:dyDescent="0.25">
      <c r="B207" s="3">
        <f>Links!B207</f>
        <v>0</v>
      </c>
      <c r="C207" s="15">
        <f>Links!C207</f>
        <v>0</v>
      </c>
      <c r="D207" s="2">
        <f>Links!G207</f>
        <v>0</v>
      </c>
    </row>
    <row r="208" spans="2:4" ht="18.75" x14ac:dyDescent="0.25">
      <c r="B208" s="3">
        <f>Links!B208</f>
        <v>0</v>
      </c>
      <c r="C208" s="15">
        <f>Links!C208</f>
        <v>0</v>
      </c>
      <c r="D208" s="2">
        <f>Links!G208</f>
        <v>0</v>
      </c>
    </row>
    <row r="209" spans="2:4" ht="18.75" x14ac:dyDescent="0.25">
      <c r="B209" s="3">
        <f>Links!B209</f>
        <v>0</v>
      </c>
      <c r="C209" s="15">
        <f>Links!C209</f>
        <v>0</v>
      </c>
      <c r="D209" s="2">
        <f>Links!G209</f>
        <v>0</v>
      </c>
    </row>
    <row r="210" spans="2:4" ht="18.75" x14ac:dyDescent="0.25">
      <c r="B210" s="3">
        <f>Links!B210</f>
        <v>0</v>
      </c>
      <c r="C210" s="15">
        <f>Links!C210</f>
        <v>0</v>
      </c>
      <c r="D210" s="2">
        <f>Links!G210</f>
        <v>0</v>
      </c>
    </row>
    <row r="211" spans="2:4" ht="18.75" x14ac:dyDescent="0.25">
      <c r="B211" s="3">
        <f>Links!B211</f>
        <v>0</v>
      </c>
      <c r="C211" s="15">
        <f>Links!C211</f>
        <v>0</v>
      </c>
      <c r="D211" s="2">
        <f>Links!G211</f>
        <v>0</v>
      </c>
    </row>
    <row r="212" spans="2:4" ht="18.75" x14ac:dyDescent="0.25">
      <c r="B212" s="3">
        <f>Links!B212</f>
        <v>0</v>
      </c>
      <c r="C212" s="15">
        <f>Links!C212</f>
        <v>0</v>
      </c>
      <c r="D212" s="2">
        <f>Links!G212</f>
        <v>0</v>
      </c>
    </row>
    <row r="213" spans="2:4" ht="18.75" x14ac:dyDescent="0.25">
      <c r="B213" s="3">
        <f>Links!B213</f>
        <v>0</v>
      </c>
      <c r="C213" s="15">
        <f>Links!C213</f>
        <v>0</v>
      </c>
      <c r="D213" s="2">
        <f>Links!G213</f>
        <v>0</v>
      </c>
    </row>
    <row r="214" spans="2:4" ht="18.75" x14ac:dyDescent="0.25">
      <c r="B214" s="3">
        <f>Links!B214</f>
        <v>0</v>
      </c>
      <c r="C214" s="15">
        <f>Links!C214</f>
        <v>0</v>
      </c>
      <c r="D214" s="2">
        <f>Links!G214</f>
        <v>0</v>
      </c>
    </row>
    <row r="215" spans="2:4" ht="18.75" x14ac:dyDescent="0.25">
      <c r="B215" s="3">
        <f>Links!B215</f>
        <v>0</v>
      </c>
      <c r="C215" s="15">
        <f>Links!C215</f>
        <v>0</v>
      </c>
      <c r="D215" s="2">
        <f>Links!G215</f>
        <v>0</v>
      </c>
    </row>
    <row r="216" spans="2:4" ht="18.75" x14ac:dyDescent="0.25">
      <c r="B216" s="3">
        <f>Links!B216</f>
        <v>0</v>
      </c>
      <c r="C216" s="15">
        <f>Links!C216</f>
        <v>0</v>
      </c>
      <c r="D216" s="2">
        <f>Links!G216</f>
        <v>0</v>
      </c>
    </row>
    <row r="217" spans="2:4" ht="18.75" x14ac:dyDescent="0.25">
      <c r="B217" s="3">
        <f>Links!B217</f>
        <v>0</v>
      </c>
      <c r="C217" s="15">
        <f>Links!C217</f>
        <v>0</v>
      </c>
      <c r="D217" s="2">
        <f>Links!G217</f>
        <v>0</v>
      </c>
    </row>
    <row r="218" spans="2:4" ht="18.75" x14ac:dyDescent="0.25">
      <c r="B218" s="3">
        <f>Links!B218</f>
        <v>0</v>
      </c>
      <c r="C218" s="15">
        <f>Links!C218</f>
        <v>0</v>
      </c>
      <c r="D218" s="2">
        <f>Links!G218</f>
        <v>0</v>
      </c>
    </row>
    <row r="219" spans="2:4" ht="18.75" x14ac:dyDescent="0.25">
      <c r="B219" s="3">
        <f>Links!B219</f>
        <v>0</v>
      </c>
      <c r="C219" s="15">
        <f>Links!C219</f>
        <v>0</v>
      </c>
      <c r="D219" s="2">
        <f>Links!G219</f>
        <v>0</v>
      </c>
    </row>
    <row r="220" spans="2:4" ht="18.75" x14ac:dyDescent="0.25">
      <c r="B220" s="3">
        <f>Links!B220</f>
        <v>0</v>
      </c>
      <c r="C220" s="15">
        <f>Links!C220</f>
        <v>0</v>
      </c>
      <c r="D220" s="2">
        <f>Links!G220</f>
        <v>0</v>
      </c>
    </row>
    <row r="221" spans="2:4" ht="18.75" x14ac:dyDescent="0.25">
      <c r="B221" s="3">
        <f>Links!B221</f>
        <v>0</v>
      </c>
      <c r="C221" s="15">
        <f>Links!C221</f>
        <v>0</v>
      </c>
      <c r="D221" s="2">
        <f>Links!G221</f>
        <v>0</v>
      </c>
    </row>
    <row r="222" spans="2:4" ht="18.75" x14ac:dyDescent="0.25">
      <c r="B222" s="3">
        <f>Links!B222</f>
        <v>0</v>
      </c>
      <c r="C222" s="15">
        <f>Links!C222</f>
        <v>0</v>
      </c>
      <c r="D222" s="2">
        <f>Links!G222</f>
        <v>0</v>
      </c>
    </row>
    <row r="223" spans="2:4" ht="18.75" x14ac:dyDescent="0.25">
      <c r="B223" s="3">
        <f>Links!B223</f>
        <v>0</v>
      </c>
      <c r="C223" s="15">
        <f>Links!C223</f>
        <v>0</v>
      </c>
      <c r="D223" s="2">
        <f>Links!G223</f>
        <v>0</v>
      </c>
    </row>
    <row r="224" spans="2:4" ht="18.75" x14ac:dyDescent="0.25">
      <c r="B224" s="3">
        <f>Links!B224</f>
        <v>0</v>
      </c>
      <c r="C224" s="15">
        <f>Links!C224</f>
        <v>0</v>
      </c>
      <c r="D224" s="2">
        <f>Links!G224</f>
        <v>0</v>
      </c>
    </row>
    <row r="225" spans="2:4" ht="18.75" x14ac:dyDescent="0.25">
      <c r="B225" s="3">
        <f>Links!B225</f>
        <v>0</v>
      </c>
      <c r="C225" s="15">
        <f>Links!C225</f>
        <v>0</v>
      </c>
      <c r="D225" s="2">
        <f>Links!G225</f>
        <v>0</v>
      </c>
    </row>
    <row r="226" spans="2:4" ht="18.75" x14ac:dyDescent="0.25">
      <c r="B226" s="3">
        <f>Links!B226</f>
        <v>0</v>
      </c>
      <c r="C226" s="15">
        <f>Links!C226</f>
        <v>0</v>
      </c>
      <c r="D226" s="2">
        <f>Links!G226</f>
        <v>0</v>
      </c>
    </row>
    <row r="227" spans="2:4" ht="18.75" x14ac:dyDescent="0.25">
      <c r="B227" s="3">
        <f>Links!B227</f>
        <v>0</v>
      </c>
      <c r="C227" s="15">
        <f>Links!C227</f>
        <v>0</v>
      </c>
      <c r="D227" s="2">
        <f>Links!G227</f>
        <v>0</v>
      </c>
    </row>
    <row r="228" spans="2:4" ht="18.75" x14ac:dyDescent="0.25">
      <c r="B228" s="3">
        <f>Links!B228</f>
        <v>0</v>
      </c>
      <c r="C228" s="15">
        <f>Links!C228</f>
        <v>0</v>
      </c>
      <c r="D228" s="2">
        <f>Links!G228</f>
        <v>0</v>
      </c>
    </row>
    <row r="229" spans="2:4" ht="18.75" x14ac:dyDescent="0.25">
      <c r="B229" s="3">
        <f>Links!B229</f>
        <v>0</v>
      </c>
      <c r="C229" s="15">
        <f>Links!C229</f>
        <v>0</v>
      </c>
      <c r="D229" s="2">
        <f>Links!G229</f>
        <v>0</v>
      </c>
    </row>
    <row r="230" spans="2:4" ht="18.75" x14ac:dyDescent="0.25">
      <c r="B230" s="3">
        <f>Links!B230</f>
        <v>0</v>
      </c>
      <c r="C230" s="15">
        <f>Links!C230</f>
        <v>0</v>
      </c>
      <c r="D230" s="2">
        <f>Links!G230</f>
        <v>0</v>
      </c>
    </row>
    <row r="231" spans="2:4" ht="18.75" x14ac:dyDescent="0.25">
      <c r="B231" s="3">
        <f>Links!B231</f>
        <v>0</v>
      </c>
      <c r="C231" s="15">
        <f>Links!C231</f>
        <v>0</v>
      </c>
      <c r="D231" s="2">
        <f>Links!G231</f>
        <v>0</v>
      </c>
    </row>
    <row r="232" spans="2:4" ht="18.75" x14ac:dyDescent="0.25">
      <c r="B232" s="3">
        <f>Links!B232</f>
        <v>0</v>
      </c>
      <c r="C232" s="15">
        <f>Links!C232</f>
        <v>0</v>
      </c>
      <c r="D232" s="2">
        <f>Links!G232</f>
        <v>0</v>
      </c>
    </row>
    <row r="233" spans="2:4" ht="18.75" x14ac:dyDescent="0.25">
      <c r="B233" s="3">
        <f>Links!B233</f>
        <v>0</v>
      </c>
      <c r="C233" s="15">
        <f>Links!C233</f>
        <v>0</v>
      </c>
      <c r="D233" s="2">
        <f>Links!G233</f>
        <v>0</v>
      </c>
    </row>
    <row r="234" spans="2:4" ht="18.75" x14ac:dyDescent="0.25">
      <c r="B234" s="3">
        <f>Links!B234</f>
        <v>0</v>
      </c>
      <c r="C234" s="15">
        <f>Links!C234</f>
        <v>0</v>
      </c>
      <c r="D234" s="2">
        <f>Links!G234</f>
        <v>0</v>
      </c>
    </row>
    <row r="235" spans="2:4" ht="18.75" x14ac:dyDescent="0.25">
      <c r="B235" s="3">
        <f>Links!B235</f>
        <v>0</v>
      </c>
      <c r="C235" s="15">
        <f>Links!C235</f>
        <v>0</v>
      </c>
      <c r="D235" s="2">
        <f>Links!G235</f>
        <v>0</v>
      </c>
    </row>
    <row r="236" spans="2:4" ht="18.75" x14ac:dyDescent="0.25">
      <c r="B236" s="3">
        <f>Links!B236</f>
        <v>0</v>
      </c>
      <c r="C236" s="15">
        <f>Links!C236</f>
        <v>0</v>
      </c>
      <c r="D236" s="2">
        <f>Links!G236</f>
        <v>0</v>
      </c>
    </row>
    <row r="237" spans="2:4" ht="18.75" x14ac:dyDescent="0.25">
      <c r="B237" s="3">
        <f>Links!B237</f>
        <v>0</v>
      </c>
      <c r="C237" s="15">
        <f>Links!C237</f>
        <v>0</v>
      </c>
      <c r="D237" s="2">
        <f>Links!G237</f>
        <v>0</v>
      </c>
    </row>
    <row r="238" spans="2:4" ht="18.75" x14ac:dyDescent="0.25">
      <c r="B238" s="3">
        <f>Links!B238</f>
        <v>0</v>
      </c>
      <c r="C238" s="15">
        <f>Links!C238</f>
        <v>0</v>
      </c>
      <c r="D238" s="2">
        <f>Links!G238</f>
        <v>0</v>
      </c>
    </row>
    <row r="239" spans="2:4" ht="18.75" x14ac:dyDescent="0.25">
      <c r="B239" s="3">
        <f>Links!B239</f>
        <v>0</v>
      </c>
      <c r="C239" s="15">
        <f>Links!C239</f>
        <v>0</v>
      </c>
      <c r="D239" s="2">
        <f>Links!G239</f>
        <v>0</v>
      </c>
    </row>
    <row r="240" spans="2:4" ht="18.75" x14ac:dyDescent="0.25">
      <c r="B240" s="3">
        <f>Links!B240</f>
        <v>0</v>
      </c>
      <c r="C240" s="15">
        <f>Links!C240</f>
        <v>0</v>
      </c>
      <c r="D240" s="2">
        <f>Links!G240</f>
        <v>0</v>
      </c>
    </row>
    <row r="241" spans="2:4" ht="18.75" x14ac:dyDescent="0.25">
      <c r="B241" s="3">
        <f>Links!B241</f>
        <v>0</v>
      </c>
      <c r="C241" s="15">
        <f>Links!C241</f>
        <v>0</v>
      </c>
      <c r="D241" s="2">
        <f>Links!G241</f>
        <v>0</v>
      </c>
    </row>
    <row r="242" spans="2:4" ht="18.75" x14ac:dyDescent="0.25">
      <c r="B242" s="3">
        <f>Links!B242</f>
        <v>0</v>
      </c>
      <c r="C242" s="15">
        <f>Links!C242</f>
        <v>0</v>
      </c>
      <c r="D242" s="2">
        <f>Links!G242</f>
        <v>0</v>
      </c>
    </row>
    <row r="243" spans="2:4" ht="18.75" x14ac:dyDescent="0.25">
      <c r="B243" s="3">
        <f>Links!B243</f>
        <v>0</v>
      </c>
      <c r="C243" s="15">
        <f>Links!C243</f>
        <v>0</v>
      </c>
      <c r="D243" s="2">
        <f>Links!G243</f>
        <v>0</v>
      </c>
    </row>
    <row r="244" spans="2:4" ht="18.75" x14ac:dyDescent="0.25">
      <c r="B244" s="3">
        <f>Links!B244</f>
        <v>0</v>
      </c>
      <c r="C244" s="15">
        <f>Links!C244</f>
        <v>0</v>
      </c>
      <c r="D244" s="2">
        <f>Links!G244</f>
        <v>0</v>
      </c>
    </row>
    <row r="245" spans="2:4" ht="18.75" x14ac:dyDescent="0.25">
      <c r="B245" s="3">
        <f>Links!B245</f>
        <v>0</v>
      </c>
      <c r="C245" s="15">
        <f>Links!C245</f>
        <v>0</v>
      </c>
      <c r="D245" s="2">
        <f>Links!G245</f>
        <v>0</v>
      </c>
    </row>
    <row r="246" spans="2:4" ht="18.75" x14ac:dyDescent="0.25">
      <c r="B246" s="3">
        <f>Links!B246</f>
        <v>0</v>
      </c>
      <c r="C246" s="15">
        <f>Links!C246</f>
        <v>0</v>
      </c>
      <c r="D246" s="2">
        <f>Links!G246</f>
        <v>0</v>
      </c>
    </row>
    <row r="247" spans="2:4" ht="18.75" x14ac:dyDescent="0.25">
      <c r="B247" s="3">
        <f>Links!B247</f>
        <v>0</v>
      </c>
      <c r="C247" s="15">
        <f>Links!C247</f>
        <v>0</v>
      </c>
      <c r="D247" s="2">
        <f>Links!G247</f>
        <v>0</v>
      </c>
    </row>
    <row r="248" spans="2:4" ht="18.75" x14ac:dyDescent="0.25">
      <c r="B248" s="3">
        <f>Links!B248</f>
        <v>0</v>
      </c>
      <c r="C248" s="15">
        <f>Links!C248</f>
        <v>0</v>
      </c>
      <c r="D248" s="2">
        <f>Links!G248</f>
        <v>0</v>
      </c>
    </row>
    <row r="249" spans="2:4" ht="18.75" x14ac:dyDescent="0.25">
      <c r="B249" s="3">
        <f>Links!B249</f>
        <v>0</v>
      </c>
      <c r="C249" s="15">
        <f>Links!C249</f>
        <v>0</v>
      </c>
      <c r="D249" s="2">
        <f>Links!G249</f>
        <v>0</v>
      </c>
    </row>
    <row r="250" spans="2:4" ht="18.75" x14ac:dyDescent="0.25">
      <c r="B250" s="3">
        <f>Links!B250</f>
        <v>0</v>
      </c>
      <c r="C250" s="15">
        <f>Links!C250</f>
        <v>0</v>
      </c>
      <c r="D250" s="2">
        <f>Links!G250</f>
        <v>0</v>
      </c>
    </row>
    <row r="251" spans="2:4" ht="18.75" x14ac:dyDescent="0.25">
      <c r="B251" s="3">
        <f>Links!B251</f>
        <v>0</v>
      </c>
      <c r="C251" s="15">
        <f>Links!C251</f>
        <v>0</v>
      </c>
      <c r="D251" s="2">
        <f>Links!G251</f>
        <v>0</v>
      </c>
    </row>
    <row r="252" spans="2:4" ht="18.75" x14ac:dyDescent="0.25">
      <c r="B252" s="3">
        <f>Links!B252</f>
        <v>0</v>
      </c>
      <c r="C252" s="15">
        <f>Links!C252</f>
        <v>0</v>
      </c>
      <c r="D252" s="2">
        <f>Links!G252</f>
        <v>0</v>
      </c>
    </row>
    <row r="253" spans="2:4" ht="18.75" x14ac:dyDescent="0.25">
      <c r="B253" s="3">
        <f>Links!B253</f>
        <v>0</v>
      </c>
      <c r="C253" s="15">
        <f>Links!C253</f>
        <v>0</v>
      </c>
      <c r="D253" s="2">
        <f>Links!G253</f>
        <v>0</v>
      </c>
    </row>
    <row r="254" spans="2:4" ht="18.75" x14ac:dyDescent="0.25">
      <c r="B254" s="3">
        <f>Links!B254</f>
        <v>0</v>
      </c>
      <c r="C254" s="15">
        <f>Links!C254</f>
        <v>0</v>
      </c>
      <c r="D254" s="2">
        <f>Links!G254</f>
        <v>0</v>
      </c>
    </row>
    <row r="255" spans="2:4" ht="18.75" x14ac:dyDescent="0.25">
      <c r="B255" s="3">
        <f>Links!B255</f>
        <v>0</v>
      </c>
      <c r="C255" s="15">
        <f>Links!C255</f>
        <v>0</v>
      </c>
      <c r="D255" s="2">
        <f>Links!G255</f>
        <v>0</v>
      </c>
    </row>
    <row r="256" spans="2:4" ht="18.75" x14ac:dyDescent="0.25">
      <c r="B256" s="3">
        <f>Links!B256</f>
        <v>0</v>
      </c>
      <c r="C256" s="15">
        <f>Links!C256</f>
        <v>0</v>
      </c>
      <c r="D256" s="2">
        <f>Links!G256</f>
        <v>0</v>
      </c>
    </row>
    <row r="257" spans="2:4" ht="18.75" x14ac:dyDescent="0.25">
      <c r="B257" s="3">
        <f>Links!B257</f>
        <v>0</v>
      </c>
      <c r="C257" s="15">
        <f>Links!C257</f>
        <v>0</v>
      </c>
      <c r="D257" s="2">
        <f>Links!G257</f>
        <v>0</v>
      </c>
    </row>
    <row r="258" spans="2:4" ht="18.75" x14ac:dyDescent="0.25">
      <c r="B258" s="3">
        <f>Links!B258</f>
        <v>0</v>
      </c>
      <c r="C258" s="15">
        <f>Links!C258</f>
        <v>0</v>
      </c>
      <c r="D258" s="2">
        <f>Links!G258</f>
        <v>0</v>
      </c>
    </row>
    <row r="259" spans="2:4" ht="18.75" x14ac:dyDescent="0.25">
      <c r="B259" s="3">
        <f>Links!B259</f>
        <v>0</v>
      </c>
      <c r="C259" s="15">
        <f>Links!C259</f>
        <v>0</v>
      </c>
      <c r="D259" s="2">
        <f>Links!G259</f>
        <v>0</v>
      </c>
    </row>
    <row r="260" spans="2:4" ht="18.75" x14ac:dyDescent="0.25">
      <c r="B260" s="3">
        <f>Links!B260</f>
        <v>0</v>
      </c>
      <c r="C260" s="15">
        <f>Links!C260</f>
        <v>0</v>
      </c>
      <c r="D260" s="2">
        <f>Links!G260</f>
        <v>0</v>
      </c>
    </row>
    <row r="261" spans="2:4" ht="18.75" x14ac:dyDescent="0.25">
      <c r="B261" s="3">
        <f>Links!B261</f>
        <v>0</v>
      </c>
      <c r="C261" s="15">
        <f>Links!C261</f>
        <v>0</v>
      </c>
      <c r="D261" s="2">
        <f>Links!G261</f>
        <v>0</v>
      </c>
    </row>
    <row r="262" spans="2:4" ht="18.75" x14ac:dyDescent="0.25">
      <c r="B262" s="3">
        <f>Links!B262</f>
        <v>0</v>
      </c>
      <c r="C262" s="15">
        <f>Links!C262</f>
        <v>0</v>
      </c>
      <c r="D262" s="2">
        <f>Links!G262</f>
        <v>0</v>
      </c>
    </row>
    <row r="263" spans="2:4" ht="18.75" x14ac:dyDescent="0.25">
      <c r="B263" s="3">
        <f>Links!B263</f>
        <v>0</v>
      </c>
      <c r="C263" s="15">
        <f>Links!C263</f>
        <v>0</v>
      </c>
      <c r="D263" s="2">
        <f>Links!G263</f>
        <v>0</v>
      </c>
    </row>
    <row r="264" spans="2:4" ht="18.75" x14ac:dyDescent="0.25">
      <c r="B264" s="3">
        <f>Links!B264</f>
        <v>0</v>
      </c>
      <c r="C264" s="15">
        <f>Links!C264</f>
        <v>0</v>
      </c>
      <c r="D264" s="2">
        <f>Links!G264</f>
        <v>0</v>
      </c>
    </row>
    <row r="265" spans="2:4" ht="18.75" x14ac:dyDescent="0.25">
      <c r="B265" s="3">
        <f>Links!B265</f>
        <v>0</v>
      </c>
      <c r="C265" s="15">
        <f>Links!C265</f>
        <v>0</v>
      </c>
      <c r="D265" s="2">
        <f>Links!G265</f>
        <v>0</v>
      </c>
    </row>
    <row r="266" spans="2:4" ht="18.75" x14ac:dyDescent="0.25">
      <c r="B266" s="3">
        <f>Links!B266</f>
        <v>0</v>
      </c>
      <c r="C266" s="15">
        <f>Links!C266</f>
        <v>0</v>
      </c>
      <c r="D266" s="2">
        <f>Links!G266</f>
        <v>0</v>
      </c>
    </row>
    <row r="267" spans="2:4" ht="18.75" x14ac:dyDescent="0.25">
      <c r="B267" s="3">
        <f>Links!B267</f>
        <v>0</v>
      </c>
      <c r="C267" s="15">
        <f>Links!C267</f>
        <v>0</v>
      </c>
      <c r="D267" s="2">
        <f>Links!G267</f>
        <v>0</v>
      </c>
    </row>
    <row r="268" spans="2:4" ht="18.75" x14ac:dyDescent="0.25">
      <c r="B268" s="3">
        <f>Links!B268</f>
        <v>0</v>
      </c>
      <c r="C268" s="15">
        <f>Links!C268</f>
        <v>0</v>
      </c>
      <c r="D268" s="2">
        <f>Links!G268</f>
        <v>0</v>
      </c>
    </row>
    <row r="269" spans="2:4" ht="18.75" x14ac:dyDescent="0.25">
      <c r="B269" s="3">
        <f>Links!B269</f>
        <v>0</v>
      </c>
      <c r="C269" s="15">
        <f>Links!C269</f>
        <v>0</v>
      </c>
      <c r="D269" s="2">
        <f>Links!G269</f>
        <v>0</v>
      </c>
    </row>
    <row r="270" spans="2:4" ht="18.75" x14ac:dyDescent="0.25">
      <c r="B270" s="3">
        <f>Links!B270</f>
        <v>0</v>
      </c>
      <c r="C270" s="15">
        <f>Links!C270</f>
        <v>0</v>
      </c>
      <c r="D270" s="2">
        <f>Links!G270</f>
        <v>0</v>
      </c>
    </row>
    <row r="271" spans="2:4" ht="18.75" x14ac:dyDescent="0.25">
      <c r="B271" s="3">
        <f>Links!B271</f>
        <v>0</v>
      </c>
      <c r="C271" s="15">
        <f>Links!C271</f>
        <v>0</v>
      </c>
      <c r="D271" s="2">
        <f>Links!G271</f>
        <v>0</v>
      </c>
    </row>
    <row r="272" spans="2:4" ht="18.75" x14ac:dyDescent="0.25">
      <c r="B272" s="3">
        <f>Links!B272</f>
        <v>0</v>
      </c>
      <c r="C272" s="15">
        <f>Links!C272</f>
        <v>0</v>
      </c>
      <c r="D272" s="2">
        <f>Links!G272</f>
        <v>0</v>
      </c>
    </row>
    <row r="273" spans="2:4" ht="18.75" x14ac:dyDescent="0.25">
      <c r="B273" s="3">
        <f>Links!B273</f>
        <v>0</v>
      </c>
      <c r="C273" s="15">
        <f>Links!C273</f>
        <v>0</v>
      </c>
      <c r="D273" s="2">
        <f>Links!G273</f>
        <v>0</v>
      </c>
    </row>
    <row r="274" spans="2:4" ht="18.75" x14ac:dyDescent="0.25">
      <c r="B274" s="3">
        <f>Links!B274</f>
        <v>0</v>
      </c>
      <c r="C274" s="15">
        <f>Links!C274</f>
        <v>0</v>
      </c>
      <c r="D274" s="2">
        <f>Links!G274</f>
        <v>0</v>
      </c>
    </row>
    <row r="275" spans="2:4" ht="18.75" x14ac:dyDescent="0.25">
      <c r="B275" s="3">
        <f>Links!B275</f>
        <v>0</v>
      </c>
      <c r="C275" s="15">
        <f>Links!C275</f>
        <v>0</v>
      </c>
      <c r="D275" s="2">
        <f>Links!G275</f>
        <v>0</v>
      </c>
    </row>
    <row r="276" spans="2:4" ht="18.75" x14ac:dyDescent="0.25">
      <c r="B276" s="3">
        <f>Links!B276</f>
        <v>0</v>
      </c>
      <c r="C276" s="15">
        <f>Links!C276</f>
        <v>0</v>
      </c>
      <c r="D276" s="2">
        <f>Links!G276</f>
        <v>0</v>
      </c>
    </row>
    <row r="277" spans="2:4" ht="18.75" x14ac:dyDescent="0.25">
      <c r="B277" s="3">
        <f>Links!B277</f>
        <v>0</v>
      </c>
      <c r="C277" s="15">
        <f>Links!C277</f>
        <v>0</v>
      </c>
      <c r="D277" s="2">
        <f>Links!G277</f>
        <v>0</v>
      </c>
    </row>
    <row r="278" spans="2:4" ht="18.75" x14ac:dyDescent="0.25">
      <c r="B278" s="3">
        <f>Links!B278</f>
        <v>0</v>
      </c>
      <c r="C278" s="15">
        <f>Links!C278</f>
        <v>0</v>
      </c>
      <c r="D278" s="2">
        <f>Links!G278</f>
        <v>0</v>
      </c>
    </row>
    <row r="279" spans="2:4" ht="18.75" x14ac:dyDescent="0.25">
      <c r="B279" s="3">
        <f>Links!B279</f>
        <v>0</v>
      </c>
      <c r="C279" s="15">
        <f>Links!C279</f>
        <v>0</v>
      </c>
      <c r="D279" s="2">
        <f>Links!G279</f>
        <v>0</v>
      </c>
    </row>
    <row r="280" spans="2:4" ht="18.75" x14ac:dyDescent="0.25">
      <c r="B280" s="3">
        <f>Links!B280</f>
        <v>0</v>
      </c>
      <c r="C280" s="15">
        <f>Links!C280</f>
        <v>0</v>
      </c>
      <c r="D280" s="2">
        <f>Links!G280</f>
        <v>0</v>
      </c>
    </row>
    <row r="281" spans="2:4" ht="18.75" x14ac:dyDescent="0.25">
      <c r="B281" s="3">
        <f>Links!B281</f>
        <v>0</v>
      </c>
      <c r="C281" s="15">
        <f>Links!C281</f>
        <v>0</v>
      </c>
      <c r="D281" s="2">
        <f>Links!G281</f>
        <v>0</v>
      </c>
    </row>
    <row r="282" spans="2:4" ht="18.75" x14ac:dyDescent="0.25">
      <c r="B282" s="3">
        <f>Links!B282</f>
        <v>0</v>
      </c>
      <c r="C282" s="15">
        <f>Links!C282</f>
        <v>0</v>
      </c>
      <c r="D282" s="2">
        <f>Links!G282</f>
        <v>0</v>
      </c>
    </row>
    <row r="283" spans="2:4" ht="18.75" x14ac:dyDescent="0.25">
      <c r="B283" s="3">
        <f>Links!B283</f>
        <v>0</v>
      </c>
      <c r="C283" s="15">
        <f>Links!C283</f>
        <v>0</v>
      </c>
      <c r="D283" s="2">
        <f>Links!G283</f>
        <v>0</v>
      </c>
    </row>
    <row r="284" spans="2:4" ht="18.75" x14ac:dyDescent="0.25">
      <c r="B284" s="3">
        <f>Links!B284</f>
        <v>0</v>
      </c>
      <c r="C284" s="15">
        <f>Links!C284</f>
        <v>0</v>
      </c>
      <c r="D284" s="2">
        <f>Links!G284</f>
        <v>0</v>
      </c>
    </row>
    <row r="285" spans="2:4" ht="18.75" x14ac:dyDescent="0.25">
      <c r="B285" s="3">
        <f>Links!B285</f>
        <v>0</v>
      </c>
      <c r="C285" s="15">
        <f>Links!C285</f>
        <v>0</v>
      </c>
      <c r="D285" s="2">
        <f>Links!G285</f>
        <v>0</v>
      </c>
    </row>
    <row r="286" spans="2:4" ht="18.75" x14ac:dyDescent="0.25">
      <c r="B286" s="3">
        <f>Links!B286</f>
        <v>0</v>
      </c>
      <c r="C286" s="15">
        <f>Links!C286</f>
        <v>0</v>
      </c>
      <c r="D286" s="2">
        <f>Links!G286</f>
        <v>0</v>
      </c>
    </row>
    <row r="287" spans="2:4" ht="18.75" x14ac:dyDescent="0.25">
      <c r="B287" s="3">
        <f>Links!B287</f>
        <v>0</v>
      </c>
      <c r="C287" s="15">
        <f>Links!C287</f>
        <v>0</v>
      </c>
      <c r="D287" s="2">
        <f>Links!G287</f>
        <v>0</v>
      </c>
    </row>
    <row r="288" spans="2:4" ht="18.75" x14ac:dyDescent="0.25">
      <c r="B288" s="3">
        <f>Links!B288</f>
        <v>0</v>
      </c>
      <c r="C288" s="15">
        <f>Links!C288</f>
        <v>0</v>
      </c>
      <c r="D288" s="2">
        <f>Links!G288</f>
        <v>0</v>
      </c>
    </row>
    <row r="289" spans="2:4" ht="18.75" x14ac:dyDescent="0.25">
      <c r="B289" s="3">
        <f>Links!B289</f>
        <v>0</v>
      </c>
      <c r="C289" s="15">
        <f>Links!C289</f>
        <v>0</v>
      </c>
      <c r="D289" s="2">
        <f>Links!G289</f>
        <v>0</v>
      </c>
    </row>
    <row r="290" spans="2:4" ht="18.75" x14ac:dyDescent="0.25">
      <c r="B290" s="3">
        <f>Links!B290</f>
        <v>0</v>
      </c>
      <c r="C290" s="15">
        <f>Links!C290</f>
        <v>0</v>
      </c>
      <c r="D290" s="2">
        <f>Links!G290</f>
        <v>0</v>
      </c>
    </row>
    <row r="291" spans="2:4" ht="18.75" x14ac:dyDescent="0.25">
      <c r="B291" s="3">
        <f>Links!B291</f>
        <v>0</v>
      </c>
      <c r="C291" s="15">
        <f>Links!C291</f>
        <v>0</v>
      </c>
      <c r="D291" s="2">
        <f>Links!G291</f>
        <v>0</v>
      </c>
    </row>
    <row r="292" spans="2:4" ht="18.75" x14ac:dyDescent="0.25">
      <c r="B292" s="3">
        <f>Links!B292</f>
        <v>0</v>
      </c>
      <c r="C292" s="15">
        <f>Links!C292</f>
        <v>0</v>
      </c>
      <c r="D292" s="2">
        <f>Links!G292</f>
        <v>0</v>
      </c>
    </row>
    <row r="293" spans="2:4" ht="18.75" x14ac:dyDescent="0.25">
      <c r="B293" s="3">
        <f>Links!B293</f>
        <v>0</v>
      </c>
      <c r="C293" s="15">
        <f>Links!C293</f>
        <v>0</v>
      </c>
      <c r="D293" s="2">
        <f>Links!G293</f>
        <v>0</v>
      </c>
    </row>
    <row r="294" spans="2:4" ht="18.75" x14ac:dyDescent="0.25">
      <c r="B294" s="3">
        <f>Links!B294</f>
        <v>0</v>
      </c>
      <c r="C294" s="15">
        <f>Links!C294</f>
        <v>0</v>
      </c>
      <c r="D294" s="2">
        <f>Links!G294</f>
        <v>0</v>
      </c>
    </row>
    <row r="295" spans="2:4" ht="18.75" x14ac:dyDescent="0.25">
      <c r="B295" s="3">
        <f>Links!B295</f>
        <v>0</v>
      </c>
      <c r="C295" s="15">
        <f>Links!C295</f>
        <v>0</v>
      </c>
      <c r="D295" s="2">
        <f>Links!G295</f>
        <v>0</v>
      </c>
    </row>
    <row r="296" spans="2:4" ht="18.75" x14ac:dyDescent="0.25">
      <c r="B296" s="3">
        <f>Links!B296</f>
        <v>0</v>
      </c>
      <c r="C296" s="15">
        <f>Links!C296</f>
        <v>0</v>
      </c>
      <c r="D296" s="2">
        <f>Links!G296</f>
        <v>0</v>
      </c>
    </row>
    <row r="297" spans="2:4" ht="18.75" x14ac:dyDescent="0.25">
      <c r="B297" s="3">
        <f>Links!B297</f>
        <v>0</v>
      </c>
      <c r="C297" s="15">
        <f>Links!C297</f>
        <v>0</v>
      </c>
      <c r="D297" s="2">
        <f>Links!G297</f>
        <v>0</v>
      </c>
    </row>
    <row r="298" spans="2:4" ht="18.75" x14ac:dyDescent="0.25">
      <c r="B298" s="3">
        <f>Links!B298</f>
        <v>0</v>
      </c>
      <c r="C298" s="15">
        <f>Links!C298</f>
        <v>0</v>
      </c>
      <c r="D298" s="2">
        <f>Links!G298</f>
        <v>0</v>
      </c>
    </row>
    <row r="299" spans="2:4" ht="18.75" x14ac:dyDescent="0.25">
      <c r="B299" s="3">
        <f>Links!B299</f>
        <v>0</v>
      </c>
      <c r="C299" s="15">
        <f>Links!C299</f>
        <v>0</v>
      </c>
      <c r="D299" s="2">
        <f>Links!G299</f>
        <v>0</v>
      </c>
    </row>
    <row r="300" spans="2:4" ht="18.75" x14ac:dyDescent="0.25">
      <c r="B300" s="3">
        <f>Links!B300</f>
        <v>0</v>
      </c>
      <c r="C300" s="15">
        <f>Links!C300</f>
        <v>0</v>
      </c>
      <c r="D300" s="2">
        <f>Links!G300</f>
        <v>0</v>
      </c>
    </row>
    <row r="301" spans="2:4" ht="18.75" x14ac:dyDescent="0.25">
      <c r="B301" s="3">
        <f>Links!B301</f>
        <v>0</v>
      </c>
      <c r="C301" s="15">
        <f>Links!C301</f>
        <v>0</v>
      </c>
      <c r="D301" s="2">
        <f>Links!G301</f>
        <v>0</v>
      </c>
    </row>
    <row r="302" spans="2:4" ht="18.75" x14ac:dyDescent="0.25">
      <c r="B302" s="3">
        <f>Links!B302</f>
        <v>0</v>
      </c>
      <c r="C302" s="15">
        <f>Links!C302</f>
        <v>0</v>
      </c>
      <c r="D302" s="2">
        <f>Links!G302</f>
        <v>0</v>
      </c>
    </row>
    <row r="303" spans="2:4" ht="18.75" x14ac:dyDescent="0.25">
      <c r="B303" s="3">
        <f>Links!B303</f>
        <v>0</v>
      </c>
      <c r="C303" s="15">
        <f>Links!C303</f>
        <v>0</v>
      </c>
      <c r="D303" s="2">
        <f>Links!G303</f>
        <v>0</v>
      </c>
    </row>
    <row r="304" spans="2:4" ht="18.75" x14ac:dyDescent="0.25">
      <c r="B304" s="3">
        <f>Links!B304</f>
        <v>0</v>
      </c>
      <c r="C304" s="15">
        <f>Links!C304</f>
        <v>0</v>
      </c>
      <c r="D304" s="2">
        <f>Links!G304</f>
        <v>0</v>
      </c>
    </row>
    <row r="305" spans="2:4" ht="18.75" x14ac:dyDescent="0.25">
      <c r="B305" s="3">
        <f>Links!B305</f>
        <v>0</v>
      </c>
      <c r="C305" s="15">
        <f>Links!C305</f>
        <v>0</v>
      </c>
      <c r="D305" s="2">
        <f>Links!G305</f>
        <v>0</v>
      </c>
    </row>
    <row r="306" spans="2:4" ht="18.75" x14ac:dyDescent="0.25">
      <c r="B306" s="3">
        <f>Links!B306</f>
        <v>0</v>
      </c>
      <c r="C306" s="15">
        <f>Links!C306</f>
        <v>0</v>
      </c>
      <c r="D306" s="2">
        <f>Links!G306</f>
        <v>0</v>
      </c>
    </row>
    <row r="307" spans="2:4" ht="18.75" x14ac:dyDescent="0.25">
      <c r="B307" s="3">
        <f>Links!B307</f>
        <v>0</v>
      </c>
      <c r="C307" s="15">
        <f>Links!C307</f>
        <v>0</v>
      </c>
      <c r="D307" s="2">
        <f>Links!G307</f>
        <v>0</v>
      </c>
    </row>
    <row r="308" spans="2:4" ht="18.75" x14ac:dyDescent="0.25">
      <c r="B308" s="3">
        <f>Links!B308</f>
        <v>0</v>
      </c>
      <c r="C308" s="15">
        <f>Links!C308</f>
        <v>0</v>
      </c>
      <c r="D308" s="2">
        <f>Links!G308</f>
        <v>0</v>
      </c>
    </row>
    <row r="309" spans="2:4" ht="18.75" x14ac:dyDescent="0.25">
      <c r="B309" s="3">
        <f>Links!B309</f>
        <v>0</v>
      </c>
      <c r="C309" s="15">
        <f>Links!C309</f>
        <v>0</v>
      </c>
      <c r="D309" s="2">
        <f>Links!G309</f>
        <v>0</v>
      </c>
    </row>
    <row r="310" spans="2:4" ht="18.75" x14ac:dyDescent="0.25">
      <c r="B310" s="3">
        <f>Links!B310</f>
        <v>0</v>
      </c>
      <c r="C310" s="15">
        <f>Links!C310</f>
        <v>0</v>
      </c>
      <c r="D310" s="2">
        <f>Links!G310</f>
        <v>0</v>
      </c>
    </row>
    <row r="311" spans="2:4" ht="18.75" x14ac:dyDescent="0.25">
      <c r="B311" s="3">
        <f>Links!B311</f>
        <v>0</v>
      </c>
      <c r="C311" s="15">
        <f>Links!C311</f>
        <v>0</v>
      </c>
      <c r="D311" s="2">
        <f>Links!G311</f>
        <v>0</v>
      </c>
    </row>
    <row r="312" spans="2:4" ht="18.75" x14ac:dyDescent="0.25">
      <c r="B312" s="3">
        <f>Links!B312</f>
        <v>0</v>
      </c>
      <c r="C312" s="15">
        <f>Links!C312</f>
        <v>0</v>
      </c>
      <c r="D312" s="2">
        <f>Links!G312</f>
        <v>0</v>
      </c>
    </row>
    <row r="313" spans="2:4" ht="18.75" x14ac:dyDescent="0.25">
      <c r="B313" s="3">
        <f>Links!B313</f>
        <v>0</v>
      </c>
      <c r="C313" s="15">
        <f>Links!C313</f>
        <v>0</v>
      </c>
      <c r="D313" s="2">
        <f>Links!G313</f>
        <v>0</v>
      </c>
    </row>
    <row r="314" spans="2:4" ht="18.75" x14ac:dyDescent="0.25">
      <c r="B314" s="3">
        <f>Links!B314</f>
        <v>0</v>
      </c>
      <c r="C314" s="15">
        <f>Links!C314</f>
        <v>0</v>
      </c>
      <c r="D314" s="2">
        <f>Links!G314</f>
        <v>0</v>
      </c>
    </row>
    <row r="315" spans="2:4" ht="18.75" x14ac:dyDescent="0.25">
      <c r="B315" s="3">
        <f>Links!B315</f>
        <v>0</v>
      </c>
      <c r="C315" s="15">
        <f>Links!C315</f>
        <v>0</v>
      </c>
      <c r="D315" s="2">
        <f>Links!G315</f>
        <v>0</v>
      </c>
    </row>
    <row r="316" spans="2:4" ht="18.75" x14ac:dyDescent="0.25">
      <c r="B316" s="3">
        <f>Links!B316</f>
        <v>0</v>
      </c>
      <c r="C316" s="15">
        <f>Links!C316</f>
        <v>0</v>
      </c>
      <c r="D316" s="2">
        <f>Links!G316</f>
        <v>0</v>
      </c>
    </row>
    <row r="317" spans="2:4" ht="18.75" x14ac:dyDescent="0.25">
      <c r="B317" s="3">
        <f>Links!B317</f>
        <v>0</v>
      </c>
      <c r="C317" s="15">
        <f>Links!C317</f>
        <v>0</v>
      </c>
      <c r="D317" s="2">
        <f>Links!G317</f>
        <v>0</v>
      </c>
    </row>
    <row r="318" spans="2:4" ht="18.75" x14ac:dyDescent="0.25">
      <c r="B318" s="3">
        <f>Links!B318</f>
        <v>0</v>
      </c>
      <c r="C318" s="15">
        <f>Links!C318</f>
        <v>0</v>
      </c>
      <c r="D318" s="2">
        <f>Links!G318</f>
        <v>0</v>
      </c>
    </row>
    <row r="319" spans="2:4" ht="18.75" x14ac:dyDescent="0.25">
      <c r="B319" s="3">
        <f>Links!B319</f>
        <v>0</v>
      </c>
      <c r="C319" s="15">
        <f>Links!C319</f>
        <v>0</v>
      </c>
      <c r="D319" s="2">
        <f>Links!G319</f>
        <v>0</v>
      </c>
    </row>
    <row r="320" spans="2:4" ht="18.75" x14ac:dyDescent="0.25">
      <c r="B320" s="3">
        <f>Links!B320</f>
        <v>0</v>
      </c>
      <c r="C320" s="15">
        <f>Links!C320</f>
        <v>0</v>
      </c>
      <c r="D320" s="2">
        <f>Links!G320</f>
        <v>0</v>
      </c>
    </row>
    <row r="321" spans="2:4" ht="18.75" x14ac:dyDescent="0.25">
      <c r="B321" s="3">
        <f>Links!B321</f>
        <v>0</v>
      </c>
      <c r="C321" s="15">
        <f>Links!C321</f>
        <v>0</v>
      </c>
      <c r="D321" s="2">
        <f>Links!G321</f>
        <v>0</v>
      </c>
    </row>
    <row r="322" spans="2:4" ht="18.75" x14ac:dyDescent="0.25">
      <c r="B322" s="3">
        <f>Links!B322</f>
        <v>0</v>
      </c>
      <c r="C322" s="15">
        <f>Links!C322</f>
        <v>0</v>
      </c>
      <c r="D322" s="2">
        <f>Links!G322</f>
        <v>0</v>
      </c>
    </row>
    <row r="323" spans="2:4" ht="18.75" x14ac:dyDescent="0.25">
      <c r="B323" s="3">
        <f>Links!B323</f>
        <v>0</v>
      </c>
      <c r="C323" s="15">
        <f>Links!C323</f>
        <v>0</v>
      </c>
      <c r="D323" s="2">
        <f>Links!G323</f>
        <v>0</v>
      </c>
    </row>
    <row r="324" spans="2:4" ht="18.75" x14ac:dyDescent="0.25">
      <c r="B324" s="3">
        <f>Links!B324</f>
        <v>0</v>
      </c>
      <c r="C324" s="15">
        <f>Links!C324</f>
        <v>0</v>
      </c>
      <c r="D324" s="2">
        <f>Links!G324</f>
        <v>0</v>
      </c>
    </row>
    <row r="325" spans="2:4" ht="18.75" x14ac:dyDescent="0.25">
      <c r="B325" s="3">
        <f>Links!B325</f>
        <v>0</v>
      </c>
      <c r="C325" s="15">
        <f>Links!C325</f>
        <v>0</v>
      </c>
      <c r="D325" s="2">
        <f>Links!G325</f>
        <v>0</v>
      </c>
    </row>
    <row r="326" spans="2:4" ht="18.75" x14ac:dyDescent="0.25">
      <c r="B326" s="3">
        <f>Links!B326</f>
        <v>0</v>
      </c>
      <c r="C326" s="15">
        <f>Links!C326</f>
        <v>0</v>
      </c>
      <c r="D326" s="2">
        <f>Links!G326</f>
        <v>0</v>
      </c>
    </row>
    <row r="327" spans="2:4" ht="18.75" x14ac:dyDescent="0.25">
      <c r="B327" s="3">
        <f>Links!B327</f>
        <v>0</v>
      </c>
      <c r="C327" s="15">
        <f>Links!C327</f>
        <v>0</v>
      </c>
      <c r="D327" s="2">
        <f>Links!G327</f>
        <v>0</v>
      </c>
    </row>
    <row r="328" spans="2:4" ht="18.75" x14ac:dyDescent="0.25">
      <c r="B328" s="3">
        <f>Links!B328</f>
        <v>0</v>
      </c>
      <c r="C328" s="15">
        <f>Links!C328</f>
        <v>0</v>
      </c>
      <c r="D328" s="2">
        <f>Links!G328</f>
        <v>0</v>
      </c>
    </row>
    <row r="329" spans="2:4" ht="18.75" x14ac:dyDescent="0.25">
      <c r="B329" s="3">
        <f>Links!B329</f>
        <v>0</v>
      </c>
      <c r="C329" s="15">
        <f>Links!C329</f>
        <v>0</v>
      </c>
      <c r="D329" s="2">
        <f>Links!G329</f>
        <v>0</v>
      </c>
    </row>
    <row r="330" spans="2:4" ht="18.75" x14ac:dyDescent="0.25">
      <c r="B330" s="3">
        <f>Links!B330</f>
        <v>0</v>
      </c>
      <c r="C330" s="15">
        <f>Links!C330</f>
        <v>0</v>
      </c>
      <c r="D330" s="2">
        <f>Links!G330</f>
        <v>0</v>
      </c>
    </row>
    <row r="331" spans="2:4" ht="18.75" x14ac:dyDescent="0.25">
      <c r="B331" s="3">
        <f>Links!B331</f>
        <v>0</v>
      </c>
      <c r="C331" s="15">
        <f>Links!C331</f>
        <v>0</v>
      </c>
      <c r="D331" s="2">
        <f>Links!G331</f>
        <v>0</v>
      </c>
    </row>
    <row r="332" spans="2:4" ht="18.75" x14ac:dyDescent="0.25">
      <c r="B332" s="3">
        <f>Links!B332</f>
        <v>0</v>
      </c>
      <c r="C332" s="15">
        <f>Links!C332</f>
        <v>0</v>
      </c>
      <c r="D332" s="2">
        <f>Links!G332</f>
        <v>0</v>
      </c>
    </row>
    <row r="333" spans="2:4" ht="18.75" x14ac:dyDescent="0.25">
      <c r="B333" s="3">
        <f>Links!B333</f>
        <v>0</v>
      </c>
      <c r="C333" s="15">
        <f>Links!C333</f>
        <v>0</v>
      </c>
      <c r="D333" s="2">
        <f>Links!G333</f>
        <v>0</v>
      </c>
    </row>
    <row r="334" spans="2:4" ht="18.75" x14ac:dyDescent="0.25">
      <c r="B334" s="3">
        <f>Links!B334</f>
        <v>0</v>
      </c>
      <c r="C334" s="15">
        <f>Links!C334</f>
        <v>0</v>
      </c>
      <c r="D334" s="2">
        <f>Links!G334</f>
        <v>0</v>
      </c>
    </row>
    <row r="335" spans="2:4" ht="18.75" x14ac:dyDescent="0.25">
      <c r="B335" s="3">
        <f>Links!B335</f>
        <v>0</v>
      </c>
      <c r="C335" s="15">
        <f>Links!C335</f>
        <v>0</v>
      </c>
      <c r="D335" s="2">
        <f>Links!G335</f>
        <v>0</v>
      </c>
    </row>
    <row r="336" spans="2:4" ht="18.75" x14ac:dyDescent="0.25">
      <c r="B336" s="3">
        <f>Links!B336</f>
        <v>0</v>
      </c>
      <c r="C336" s="15">
        <f>Links!C336</f>
        <v>0</v>
      </c>
      <c r="D336" s="2">
        <f>Links!G336</f>
        <v>0</v>
      </c>
    </row>
    <row r="337" spans="2:4" ht="18.75" x14ac:dyDescent="0.25">
      <c r="B337" s="3">
        <f>Links!B337</f>
        <v>0</v>
      </c>
      <c r="C337" s="15">
        <f>Links!C337</f>
        <v>0</v>
      </c>
      <c r="D337" s="2">
        <f>Links!G337</f>
        <v>0</v>
      </c>
    </row>
    <row r="338" spans="2:4" ht="18.75" x14ac:dyDescent="0.25">
      <c r="B338" s="3">
        <f>Links!B338</f>
        <v>0</v>
      </c>
      <c r="C338" s="15">
        <f>Links!C338</f>
        <v>0</v>
      </c>
      <c r="D338" s="2">
        <f>Links!G338</f>
        <v>0</v>
      </c>
    </row>
    <row r="339" spans="2:4" ht="18.75" x14ac:dyDescent="0.25">
      <c r="B339" s="3">
        <f>Links!B339</f>
        <v>0</v>
      </c>
      <c r="C339" s="15">
        <f>Links!C339</f>
        <v>0</v>
      </c>
      <c r="D339" s="2">
        <f>Links!G339</f>
        <v>0</v>
      </c>
    </row>
    <row r="340" spans="2:4" ht="18.75" x14ac:dyDescent="0.25">
      <c r="B340" s="3">
        <f>Links!B340</f>
        <v>0</v>
      </c>
      <c r="C340" s="15">
        <f>Links!C340</f>
        <v>0</v>
      </c>
      <c r="D340" s="2">
        <f>Links!G340</f>
        <v>0</v>
      </c>
    </row>
    <row r="341" spans="2:4" ht="18.75" x14ac:dyDescent="0.25">
      <c r="B341" s="3">
        <f>Links!B341</f>
        <v>0</v>
      </c>
      <c r="C341" s="15">
        <f>Links!C341</f>
        <v>0</v>
      </c>
      <c r="D341" s="2">
        <f>Links!G341</f>
        <v>0</v>
      </c>
    </row>
    <row r="342" spans="2:4" ht="18.75" x14ac:dyDescent="0.25">
      <c r="B342" s="3">
        <f>Links!B342</f>
        <v>0</v>
      </c>
      <c r="C342" s="15">
        <f>Links!C342</f>
        <v>0</v>
      </c>
      <c r="D342" s="2">
        <f>Links!G342</f>
        <v>0</v>
      </c>
    </row>
    <row r="343" spans="2:4" ht="18.75" x14ac:dyDescent="0.25">
      <c r="B343" s="3">
        <f>Links!B343</f>
        <v>0</v>
      </c>
      <c r="C343" s="15">
        <f>Links!C343</f>
        <v>0</v>
      </c>
      <c r="D343" s="2">
        <f>Links!G343</f>
        <v>0</v>
      </c>
    </row>
    <row r="344" spans="2:4" ht="18.75" x14ac:dyDescent="0.25">
      <c r="B344" s="3">
        <f>Links!B344</f>
        <v>0</v>
      </c>
      <c r="C344" s="15">
        <f>Links!C344</f>
        <v>0</v>
      </c>
      <c r="D344" s="2">
        <f>Links!G344</f>
        <v>0</v>
      </c>
    </row>
    <row r="345" spans="2:4" ht="18.75" x14ac:dyDescent="0.25">
      <c r="B345" s="3">
        <f>Links!B345</f>
        <v>0</v>
      </c>
      <c r="C345" s="15">
        <f>Links!C345</f>
        <v>0</v>
      </c>
      <c r="D345" s="2">
        <f>Links!G345</f>
        <v>0</v>
      </c>
    </row>
    <row r="346" spans="2:4" ht="18.75" x14ac:dyDescent="0.25">
      <c r="B346" s="3">
        <f>Links!B346</f>
        <v>0</v>
      </c>
      <c r="C346" s="15">
        <f>Links!C346</f>
        <v>0</v>
      </c>
      <c r="D346" s="2">
        <f>Links!G346</f>
        <v>0</v>
      </c>
    </row>
    <row r="347" spans="2:4" ht="18.75" x14ac:dyDescent="0.25">
      <c r="B347" s="3">
        <f>Links!B347</f>
        <v>0</v>
      </c>
      <c r="C347" s="15">
        <f>Links!C347</f>
        <v>0</v>
      </c>
      <c r="D347" s="2">
        <f>Links!G347</f>
        <v>0</v>
      </c>
    </row>
    <row r="348" spans="2:4" ht="18.75" x14ac:dyDescent="0.25">
      <c r="B348" s="3">
        <f>Links!B348</f>
        <v>0</v>
      </c>
      <c r="C348" s="15">
        <f>Links!C348</f>
        <v>0</v>
      </c>
      <c r="D348" s="2">
        <f>Links!G348</f>
        <v>0</v>
      </c>
    </row>
    <row r="349" spans="2:4" ht="18.75" x14ac:dyDescent="0.25">
      <c r="B349" s="3">
        <f>Links!B349</f>
        <v>0</v>
      </c>
      <c r="C349" s="15">
        <f>Links!C349</f>
        <v>0</v>
      </c>
      <c r="D349" s="2">
        <f>Links!G349</f>
        <v>0</v>
      </c>
    </row>
    <row r="350" spans="2:4" ht="18.75" x14ac:dyDescent="0.25">
      <c r="B350" s="3">
        <f>Links!B350</f>
        <v>0</v>
      </c>
      <c r="C350" s="15">
        <f>Links!C350</f>
        <v>0</v>
      </c>
      <c r="D350" s="2">
        <f>Links!G350</f>
        <v>0</v>
      </c>
    </row>
    <row r="351" spans="2:4" ht="18.75" x14ac:dyDescent="0.25">
      <c r="B351" s="3">
        <f>Links!B351</f>
        <v>0</v>
      </c>
      <c r="C351" s="15">
        <f>Links!C351</f>
        <v>0</v>
      </c>
      <c r="D351" s="2">
        <f>Links!G351</f>
        <v>0</v>
      </c>
    </row>
    <row r="352" spans="2:4" ht="18.75" x14ac:dyDescent="0.25">
      <c r="B352" s="3">
        <f>Links!B352</f>
        <v>0</v>
      </c>
      <c r="C352" s="15">
        <f>Links!C352</f>
        <v>0</v>
      </c>
      <c r="D352" s="2">
        <f>Links!G352</f>
        <v>0</v>
      </c>
    </row>
    <row r="353" spans="2:4" ht="18.75" x14ac:dyDescent="0.25">
      <c r="B353" s="3">
        <f>Links!B353</f>
        <v>0</v>
      </c>
      <c r="C353" s="15">
        <f>Links!C353</f>
        <v>0</v>
      </c>
      <c r="D353" s="2">
        <f>Links!G353</f>
        <v>0</v>
      </c>
    </row>
    <row r="354" spans="2:4" ht="18.75" x14ac:dyDescent="0.25">
      <c r="B354" s="3">
        <f>Links!B354</f>
        <v>0</v>
      </c>
      <c r="C354" s="15">
        <f>Links!C354</f>
        <v>0</v>
      </c>
      <c r="D354" s="2">
        <f>Links!G354</f>
        <v>0</v>
      </c>
    </row>
    <row r="355" spans="2:4" ht="18.75" x14ac:dyDescent="0.25">
      <c r="B355" s="3">
        <f>Links!B355</f>
        <v>0</v>
      </c>
      <c r="C355" s="15">
        <f>Links!C355</f>
        <v>0</v>
      </c>
      <c r="D355" s="2">
        <f>Links!G355</f>
        <v>0</v>
      </c>
    </row>
    <row r="356" spans="2:4" ht="18.75" x14ac:dyDescent="0.25">
      <c r="B356" s="3">
        <f>Links!B356</f>
        <v>0</v>
      </c>
      <c r="C356" s="15">
        <f>Links!C356</f>
        <v>0</v>
      </c>
      <c r="D356" s="2">
        <f>Links!G356</f>
        <v>0</v>
      </c>
    </row>
    <row r="357" spans="2:4" ht="18.75" x14ac:dyDescent="0.25">
      <c r="B357" s="3">
        <f>Links!B357</f>
        <v>0</v>
      </c>
      <c r="C357" s="15">
        <f>Links!C357</f>
        <v>0</v>
      </c>
      <c r="D357" s="2">
        <f>Links!G357</f>
        <v>0</v>
      </c>
    </row>
    <row r="358" spans="2:4" ht="18.75" x14ac:dyDescent="0.25">
      <c r="B358" s="3">
        <f>Links!B358</f>
        <v>0</v>
      </c>
      <c r="C358" s="15">
        <f>Links!C358</f>
        <v>0</v>
      </c>
      <c r="D358" s="2">
        <f>Links!G358</f>
        <v>0</v>
      </c>
    </row>
    <row r="359" spans="2:4" ht="18.75" x14ac:dyDescent="0.25">
      <c r="B359" s="3">
        <f>Links!B359</f>
        <v>0</v>
      </c>
      <c r="C359" s="15">
        <f>Links!C359</f>
        <v>0</v>
      </c>
      <c r="D359" s="2">
        <f>Links!G359</f>
        <v>0</v>
      </c>
    </row>
    <row r="360" spans="2:4" ht="18.75" x14ac:dyDescent="0.25">
      <c r="B360" s="3">
        <f>Links!B360</f>
        <v>0</v>
      </c>
      <c r="C360" s="15">
        <f>Links!C360</f>
        <v>0</v>
      </c>
      <c r="D360" s="2">
        <f>Links!G360</f>
        <v>0</v>
      </c>
    </row>
    <row r="361" spans="2:4" ht="18.75" x14ac:dyDescent="0.25">
      <c r="B361" s="3">
        <f>Links!B361</f>
        <v>0</v>
      </c>
      <c r="C361" s="15">
        <f>Links!C361</f>
        <v>0</v>
      </c>
      <c r="D361" s="2">
        <f>Links!G361</f>
        <v>0</v>
      </c>
    </row>
    <row r="362" spans="2:4" ht="18.75" x14ac:dyDescent="0.25">
      <c r="B362" s="3">
        <f>Links!B362</f>
        <v>0</v>
      </c>
      <c r="C362" s="15">
        <f>Links!C362</f>
        <v>0</v>
      </c>
      <c r="D362" s="2">
        <f>Links!G362</f>
        <v>0</v>
      </c>
    </row>
    <row r="363" spans="2:4" ht="18.75" x14ac:dyDescent="0.25">
      <c r="B363" s="3">
        <f>Links!B363</f>
        <v>0</v>
      </c>
      <c r="C363" s="15">
        <f>Links!C363</f>
        <v>0</v>
      </c>
      <c r="D363" s="2">
        <f>Links!G363</f>
        <v>0</v>
      </c>
    </row>
    <row r="364" spans="2:4" ht="18.75" x14ac:dyDescent="0.25">
      <c r="B364" s="3">
        <f>Links!B364</f>
        <v>0</v>
      </c>
      <c r="C364" s="15">
        <f>Links!C364</f>
        <v>0</v>
      </c>
      <c r="D364" s="2">
        <f>Links!G364</f>
        <v>0</v>
      </c>
    </row>
    <row r="365" spans="2:4" ht="18.75" x14ac:dyDescent="0.25">
      <c r="B365" s="3">
        <f>Links!B365</f>
        <v>0</v>
      </c>
      <c r="C365" s="15">
        <f>Links!C365</f>
        <v>0</v>
      </c>
      <c r="D365" s="2">
        <f>Links!G365</f>
        <v>0</v>
      </c>
    </row>
    <row r="366" spans="2:4" ht="18.75" x14ac:dyDescent="0.25">
      <c r="B366" s="3">
        <f>Links!B366</f>
        <v>0</v>
      </c>
      <c r="C366" s="15">
        <f>Links!C366</f>
        <v>0</v>
      </c>
      <c r="D366" s="2">
        <f>Links!G366</f>
        <v>0</v>
      </c>
    </row>
    <row r="367" spans="2:4" ht="18.75" x14ac:dyDescent="0.25">
      <c r="B367" s="3">
        <f>Links!B367</f>
        <v>0</v>
      </c>
      <c r="C367" s="15">
        <f>Links!C367</f>
        <v>0</v>
      </c>
      <c r="D367" s="2">
        <f>Links!G367</f>
        <v>0</v>
      </c>
    </row>
    <row r="368" spans="2:4" ht="18.75" x14ac:dyDescent="0.25">
      <c r="B368" s="3">
        <f>Links!B368</f>
        <v>0</v>
      </c>
      <c r="C368" s="15">
        <f>Links!C368</f>
        <v>0</v>
      </c>
      <c r="D368" s="2">
        <f>Links!G368</f>
        <v>0</v>
      </c>
    </row>
    <row r="369" spans="2:4" ht="18.75" x14ac:dyDescent="0.25">
      <c r="B369" s="3">
        <f>Links!B369</f>
        <v>0</v>
      </c>
      <c r="C369" s="15">
        <f>Links!C369</f>
        <v>0</v>
      </c>
      <c r="D369" s="2">
        <f>Links!G369</f>
        <v>0</v>
      </c>
    </row>
    <row r="370" spans="2:4" ht="18.75" x14ac:dyDescent="0.25">
      <c r="B370" s="3">
        <f>Links!B370</f>
        <v>0</v>
      </c>
      <c r="C370" s="15">
        <f>Links!C370</f>
        <v>0</v>
      </c>
      <c r="D370" s="2">
        <f>Links!G370</f>
        <v>0</v>
      </c>
    </row>
    <row r="371" spans="2:4" ht="18.75" x14ac:dyDescent="0.25">
      <c r="B371" s="3">
        <f>Links!B371</f>
        <v>0</v>
      </c>
      <c r="C371" s="15">
        <f>Links!C371</f>
        <v>0</v>
      </c>
      <c r="D371" s="2">
        <f>Links!G371</f>
        <v>0</v>
      </c>
    </row>
    <row r="372" spans="2:4" ht="18.75" x14ac:dyDescent="0.25">
      <c r="B372" s="3">
        <f>Links!B372</f>
        <v>0</v>
      </c>
      <c r="C372" s="15">
        <f>Links!C372</f>
        <v>0</v>
      </c>
      <c r="D372" s="2">
        <f>Links!G372</f>
        <v>0</v>
      </c>
    </row>
    <row r="373" spans="2:4" ht="18.75" x14ac:dyDescent="0.25">
      <c r="B373" s="3">
        <f>Links!B373</f>
        <v>0</v>
      </c>
      <c r="C373" s="15">
        <f>Links!C373</f>
        <v>0</v>
      </c>
      <c r="D373" s="2">
        <f>Links!G373</f>
        <v>0</v>
      </c>
    </row>
    <row r="374" spans="2:4" ht="18.75" x14ac:dyDescent="0.25">
      <c r="B374" s="3">
        <f>Links!B374</f>
        <v>0</v>
      </c>
      <c r="C374" s="15">
        <f>Links!C374</f>
        <v>0</v>
      </c>
      <c r="D374" s="2">
        <f>Links!G374</f>
        <v>0</v>
      </c>
    </row>
    <row r="375" spans="2:4" ht="18.75" x14ac:dyDescent="0.25">
      <c r="B375" s="3">
        <f>Links!B375</f>
        <v>0</v>
      </c>
      <c r="C375" s="15">
        <f>Links!C375</f>
        <v>0</v>
      </c>
      <c r="D375" s="2">
        <f>Links!G375</f>
        <v>0</v>
      </c>
    </row>
    <row r="376" spans="2:4" ht="18.75" x14ac:dyDescent="0.25">
      <c r="B376" s="3">
        <f>Links!B376</f>
        <v>0</v>
      </c>
      <c r="C376" s="15">
        <f>Links!C376</f>
        <v>0</v>
      </c>
      <c r="D376" s="2">
        <f>Links!G376</f>
        <v>0</v>
      </c>
    </row>
    <row r="377" spans="2:4" ht="18.75" x14ac:dyDescent="0.25">
      <c r="B377" s="3">
        <f>Links!B377</f>
        <v>0</v>
      </c>
      <c r="C377" s="15">
        <f>Links!C377</f>
        <v>0</v>
      </c>
      <c r="D377" s="2">
        <f>Links!G377</f>
        <v>0</v>
      </c>
    </row>
    <row r="378" spans="2:4" ht="18.75" x14ac:dyDescent="0.25">
      <c r="B378" s="3">
        <f>Links!B378</f>
        <v>0</v>
      </c>
      <c r="C378" s="15">
        <f>Links!C378</f>
        <v>0</v>
      </c>
      <c r="D378" s="2">
        <f>Links!G378</f>
        <v>0</v>
      </c>
    </row>
    <row r="379" spans="2:4" ht="18.75" x14ac:dyDescent="0.25">
      <c r="B379" s="3">
        <f>Links!B379</f>
        <v>0</v>
      </c>
      <c r="C379" s="15">
        <f>Links!C379</f>
        <v>0</v>
      </c>
      <c r="D379" s="2">
        <f>Links!G379</f>
        <v>0</v>
      </c>
    </row>
    <row r="380" spans="2:4" ht="18.75" x14ac:dyDescent="0.25">
      <c r="B380" s="3">
        <f>Links!B380</f>
        <v>0</v>
      </c>
      <c r="C380" s="15">
        <f>Links!C380</f>
        <v>0</v>
      </c>
      <c r="D380" s="2">
        <f>Links!G380</f>
        <v>0</v>
      </c>
    </row>
    <row r="381" spans="2:4" ht="18.75" x14ac:dyDescent="0.25">
      <c r="B381" s="3">
        <f>Links!B381</f>
        <v>0</v>
      </c>
      <c r="C381" s="15">
        <f>Links!C381</f>
        <v>0</v>
      </c>
      <c r="D381" s="2">
        <f>Links!G381</f>
        <v>0</v>
      </c>
    </row>
    <row r="382" spans="2:4" ht="18.75" x14ac:dyDescent="0.25">
      <c r="B382" s="3">
        <f>Links!B382</f>
        <v>0</v>
      </c>
      <c r="C382" s="15">
        <f>Links!C382</f>
        <v>0</v>
      </c>
      <c r="D382" s="2">
        <f>Links!G382</f>
        <v>0</v>
      </c>
    </row>
    <row r="383" spans="2:4" ht="18.75" x14ac:dyDescent="0.25">
      <c r="B383" s="3">
        <f>Links!B383</f>
        <v>0</v>
      </c>
      <c r="C383" s="15">
        <f>Links!C383</f>
        <v>0</v>
      </c>
      <c r="D383" s="2">
        <f>Links!G383</f>
        <v>0</v>
      </c>
    </row>
    <row r="384" spans="2:4" ht="18.75" x14ac:dyDescent="0.25">
      <c r="B384" s="3">
        <f>Links!B384</f>
        <v>0</v>
      </c>
      <c r="C384" s="15">
        <f>Links!C384</f>
        <v>0</v>
      </c>
      <c r="D384" s="2">
        <f>Links!G384</f>
        <v>0</v>
      </c>
    </row>
    <row r="385" spans="2:4" ht="18.75" x14ac:dyDescent="0.25">
      <c r="B385" s="3">
        <f>Links!B385</f>
        <v>0</v>
      </c>
      <c r="C385" s="15">
        <f>Links!C385</f>
        <v>0</v>
      </c>
      <c r="D385" s="2">
        <f>Links!G385</f>
        <v>0</v>
      </c>
    </row>
    <row r="386" spans="2:4" ht="18.75" x14ac:dyDescent="0.25">
      <c r="B386" s="3">
        <f>Links!B386</f>
        <v>0</v>
      </c>
      <c r="C386" s="15">
        <f>Links!C386</f>
        <v>0</v>
      </c>
      <c r="D386" s="2">
        <f>Links!G386</f>
        <v>0</v>
      </c>
    </row>
    <row r="387" spans="2:4" ht="18.75" x14ac:dyDescent="0.25">
      <c r="B387" s="3">
        <f>Links!B387</f>
        <v>0</v>
      </c>
      <c r="C387" s="15">
        <f>Links!C387</f>
        <v>0</v>
      </c>
      <c r="D387" s="2">
        <f>Links!G387</f>
        <v>0</v>
      </c>
    </row>
    <row r="388" spans="2:4" ht="18.75" x14ac:dyDescent="0.25">
      <c r="B388" s="3">
        <f>Links!B388</f>
        <v>0</v>
      </c>
      <c r="C388" s="15">
        <f>Links!C388</f>
        <v>0</v>
      </c>
      <c r="D388" s="2">
        <f>Links!G388</f>
        <v>0</v>
      </c>
    </row>
    <row r="389" spans="2:4" ht="18.75" x14ac:dyDescent="0.25">
      <c r="B389" s="3">
        <f>Links!B389</f>
        <v>0</v>
      </c>
      <c r="C389" s="15">
        <f>Links!C389</f>
        <v>0</v>
      </c>
      <c r="D389" s="2">
        <f>Links!G389</f>
        <v>0</v>
      </c>
    </row>
    <row r="390" spans="2:4" ht="18.75" x14ac:dyDescent="0.25">
      <c r="B390" s="3">
        <f>Links!B390</f>
        <v>0</v>
      </c>
      <c r="C390" s="15">
        <f>Links!C390</f>
        <v>0</v>
      </c>
      <c r="D390" s="2">
        <f>Links!G390</f>
        <v>0</v>
      </c>
    </row>
    <row r="391" spans="2:4" ht="18.75" x14ac:dyDescent="0.25">
      <c r="B391" s="3">
        <f>Links!B391</f>
        <v>0</v>
      </c>
      <c r="C391" s="15">
        <f>Links!C391</f>
        <v>0</v>
      </c>
      <c r="D391" s="2">
        <f>Links!G391</f>
        <v>0</v>
      </c>
    </row>
    <row r="392" spans="2:4" ht="18.75" x14ac:dyDescent="0.25">
      <c r="B392" s="3">
        <f>Links!B392</f>
        <v>0</v>
      </c>
      <c r="C392" s="15">
        <f>Links!C392</f>
        <v>0</v>
      </c>
      <c r="D392" s="2">
        <f>Links!G392</f>
        <v>0</v>
      </c>
    </row>
    <row r="393" spans="2:4" ht="18.75" x14ac:dyDescent="0.25">
      <c r="B393" s="3">
        <f>Links!B393</f>
        <v>0</v>
      </c>
      <c r="C393" s="15">
        <f>Links!C393</f>
        <v>0</v>
      </c>
      <c r="D393" s="2">
        <f>Links!G393</f>
        <v>0</v>
      </c>
    </row>
    <row r="394" spans="2:4" ht="18.75" x14ac:dyDescent="0.25">
      <c r="B394" s="3">
        <f>Links!B394</f>
        <v>0</v>
      </c>
      <c r="C394" s="15">
        <f>Links!C394</f>
        <v>0</v>
      </c>
      <c r="D394" s="2">
        <f>Links!G394</f>
        <v>0</v>
      </c>
    </row>
    <row r="395" spans="2:4" ht="18.75" x14ac:dyDescent="0.25">
      <c r="B395" s="3">
        <f>Links!B395</f>
        <v>0</v>
      </c>
      <c r="C395" s="15">
        <f>Links!C395</f>
        <v>0</v>
      </c>
      <c r="D395" s="2">
        <f>Links!G395</f>
        <v>0</v>
      </c>
    </row>
    <row r="396" spans="2:4" ht="18.75" x14ac:dyDescent="0.25">
      <c r="B396" s="3">
        <f>Links!B396</f>
        <v>0</v>
      </c>
      <c r="C396" s="15">
        <f>Links!C396</f>
        <v>0</v>
      </c>
      <c r="D396" s="2">
        <f>Links!G396</f>
        <v>0</v>
      </c>
    </row>
    <row r="397" spans="2:4" ht="18.75" x14ac:dyDescent="0.25">
      <c r="B397" s="3">
        <f>Links!B397</f>
        <v>0</v>
      </c>
      <c r="C397" s="15">
        <f>Links!C397</f>
        <v>0</v>
      </c>
      <c r="D397" s="2">
        <f>Links!G397</f>
        <v>0</v>
      </c>
    </row>
    <row r="398" spans="2:4" ht="18.75" x14ac:dyDescent="0.25">
      <c r="B398" s="3">
        <f>Links!B398</f>
        <v>0</v>
      </c>
      <c r="C398" s="15">
        <f>Links!C398</f>
        <v>0</v>
      </c>
      <c r="D398" s="2">
        <f>Links!G398</f>
        <v>0</v>
      </c>
    </row>
    <row r="399" spans="2:4" ht="18.75" x14ac:dyDescent="0.25">
      <c r="B399" s="3">
        <f>Links!B399</f>
        <v>0</v>
      </c>
      <c r="C399" s="15">
        <f>Links!C399</f>
        <v>0</v>
      </c>
      <c r="D399" s="2">
        <f>Links!G399</f>
        <v>0</v>
      </c>
    </row>
    <row r="400" spans="2:4" ht="18.75" x14ac:dyDescent="0.25">
      <c r="B400" s="3">
        <f>Links!B400</f>
        <v>0</v>
      </c>
      <c r="C400" s="15">
        <f>Links!C400</f>
        <v>0</v>
      </c>
      <c r="D400" s="2">
        <f>Links!G400</f>
        <v>0</v>
      </c>
    </row>
  </sheetData>
  <pageMargins left="0.7" right="0.7" top="0.75" bottom="0.75" header="0.3" footer="0.3"/>
  <pageSetup paperSize="8" scale="60" fitToWidth="0" fitToHeight="0" orientation="portrait" r:id="rId1"/>
  <rowBreaks count="1" manualBreakCount="1">
    <brk id="310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AA46-AD8F-40E2-B22F-B1A51128AC7A}">
  <dimension ref="A1:R142"/>
  <sheetViews>
    <sheetView tabSelected="1" view="pageBreakPreview" topLeftCell="A57" zoomScaleNormal="100" zoomScaleSheetLayoutView="100" workbookViewId="0">
      <selection activeCell="F77" sqref="F77"/>
    </sheetView>
  </sheetViews>
  <sheetFormatPr defaultColWidth="9.140625" defaultRowHeight="23.25" customHeight="1" x14ac:dyDescent="0.25"/>
  <cols>
    <col min="1" max="1" width="1.7109375" customWidth="1"/>
    <col min="2" max="2" width="31.140625" style="19" customWidth="1"/>
    <col min="3" max="3" width="30.85546875" style="21" customWidth="1"/>
    <col min="4" max="4" width="12" style="1" customWidth="1"/>
    <col min="5" max="5" width="10.28515625" style="1" customWidth="1"/>
    <col min="6" max="6" width="11.5703125" style="1" customWidth="1"/>
    <col min="7" max="7" width="9.85546875" style="17" bestFit="1" customWidth="1"/>
    <col min="8" max="8" width="38.5703125" style="1" customWidth="1"/>
    <col min="9" max="9" width="54.7109375" style="1" customWidth="1"/>
    <col min="10" max="10" width="13.7109375" style="1" customWidth="1"/>
    <col min="11" max="11" width="35.85546875" style="1" bestFit="1" customWidth="1"/>
    <col min="12" max="12" width="20" style="1" bestFit="1" customWidth="1"/>
    <col min="13" max="13" width="13.5703125" style="1" customWidth="1"/>
    <col min="14" max="14" width="36.140625" style="1" bestFit="1" customWidth="1"/>
    <col min="15" max="15" width="15.28515625" style="1" customWidth="1"/>
    <col min="16" max="16" width="16.5703125" style="1" customWidth="1"/>
    <col min="17" max="17" width="14.140625" style="1" customWidth="1"/>
    <col min="18" max="18" width="14.5703125" style="1" customWidth="1"/>
    <col min="19" max="16384" width="9.140625" style="1"/>
  </cols>
  <sheetData>
    <row r="1" spans="1:18" ht="30.75" customHeight="1" thickBot="1" x14ac:dyDescent="0.3">
      <c r="B1" s="18"/>
      <c r="C1" s="20"/>
    </row>
    <row r="2" spans="1:18" s="23" customFormat="1" ht="32.25" thickBot="1" x14ac:dyDescent="0.3">
      <c r="A2"/>
      <c r="B2" s="22" t="s">
        <v>4</v>
      </c>
      <c r="C2" s="22" t="s">
        <v>5</v>
      </c>
      <c r="D2" s="47" t="s">
        <v>6</v>
      </c>
      <c r="E2" s="47" t="s">
        <v>7</v>
      </c>
      <c r="F2" s="47" t="s">
        <v>8</v>
      </c>
      <c r="G2" s="24" t="s">
        <v>2</v>
      </c>
      <c r="H2" s="47" t="s">
        <v>9</v>
      </c>
      <c r="I2" s="47" t="s">
        <v>10</v>
      </c>
      <c r="J2" s="47" t="s">
        <v>11</v>
      </c>
      <c r="K2" s="71" t="s">
        <v>12</v>
      </c>
      <c r="L2" s="47" t="s">
        <v>13</v>
      </c>
      <c r="M2" s="25" t="s">
        <v>14</v>
      </c>
      <c r="N2" s="25" t="s">
        <v>15</v>
      </c>
      <c r="O2" s="24" t="s">
        <v>16</v>
      </c>
      <c r="P2" s="24" t="s">
        <v>16</v>
      </c>
      <c r="Q2" s="24" t="s">
        <v>16</v>
      </c>
      <c r="R2" s="24" t="s">
        <v>16</v>
      </c>
    </row>
    <row r="3" spans="1:18" ht="23.25" customHeight="1" x14ac:dyDescent="0.25">
      <c r="B3" s="26" t="s">
        <v>17</v>
      </c>
      <c r="C3" s="27" t="s">
        <v>18</v>
      </c>
      <c r="D3" s="48">
        <v>1</v>
      </c>
      <c r="E3" s="49" t="str">
        <f t="shared" ref="E3" si="0">LEFT(C3,1)</f>
        <v>A</v>
      </c>
      <c r="F3" s="50" t="s">
        <v>19</v>
      </c>
      <c r="G3" s="67" t="s">
        <v>20</v>
      </c>
      <c r="H3" s="48" t="str">
        <f>B3</f>
        <v>خليج الكوثر للتجاره والمقاولات</v>
      </c>
      <c r="I3" s="49" t="str">
        <f>C3</f>
        <v>ALKAWTHER BAY COMPANY FOR TRADING AND CONTRACTING</v>
      </c>
      <c r="J3" s="49"/>
      <c r="K3" s="49" t="s">
        <v>21</v>
      </c>
      <c r="L3" s="49"/>
      <c r="M3" s="49"/>
      <c r="N3" s="49"/>
      <c r="O3" s="49"/>
      <c r="P3" s="49"/>
      <c r="Q3" s="49"/>
      <c r="R3" s="50"/>
    </row>
    <row r="4" spans="1:18" ht="23.25" customHeight="1" x14ac:dyDescent="0.25">
      <c r="B4" s="43" t="s">
        <v>22</v>
      </c>
      <c r="C4" s="44" t="s">
        <v>23</v>
      </c>
      <c r="D4" s="51">
        <v>2</v>
      </c>
      <c r="E4" s="52" t="s">
        <v>24</v>
      </c>
      <c r="F4" s="56" t="s">
        <v>25</v>
      </c>
      <c r="G4" s="68" t="s">
        <v>26</v>
      </c>
      <c r="H4" s="51" t="str">
        <f t="shared" ref="H4:H67" si="1">B4</f>
        <v>مؤسسه العماره الهندسيه</v>
      </c>
      <c r="I4" s="52" t="str">
        <f t="shared" ref="I4:I67" si="2">C4</f>
        <v>Engineering Architecture</v>
      </c>
      <c r="J4" s="53">
        <v>45845</v>
      </c>
      <c r="K4" s="54" t="s">
        <v>27</v>
      </c>
      <c r="L4" s="52" t="s">
        <v>28</v>
      </c>
      <c r="M4" s="52">
        <v>72</v>
      </c>
      <c r="N4" s="52"/>
      <c r="O4" s="55" t="s">
        <v>29</v>
      </c>
      <c r="P4" s="55" t="s">
        <v>30</v>
      </c>
      <c r="Q4" s="52"/>
      <c r="R4" s="56"/>
    </row>
    <row r="5" spans="1:18" ht="23.25" customHeight="1" x14ac:dyDescent="0.25">
      <c r="B5" s="45" t="s">
        <v>31</v>
      </c>
      <c r="C5" s="46" t="s">
        <v>32</v>
      </c>
      <c r="D5" s="51">
        <v>3</v>
      </c>
      <c r="E5" s="52" t="s">
        <v>33</v>
      </c>
      <c r="F5" s="56" t="s">
        <v>25</v>
      </c>
      <c r="G5" s="68" t="s">
        <v>34</v>
      </c>
      <c r="H5" s="51" t="str">
        <f t="shared" si="1"/>
        <v>مؤسسه ورود حسن الكحيليني</v>
      </c>
      <c r="I5" s="52" t="str">
        <f t="shared" si="2"/>
        <v>Worod Hassan Al-Kahilini</v>
      </c>
      <c r="J5" s="53">
        <v>45847</v>
      </c>
      <c r="K5" s="54" t="s">
        <v>27</v>
      </c>
      <c r="L5" s="52" t="s">
        <v>35</v>
      </c>
      <c r="M5" s="52">
        <v>72</v>
      </c>
      <c r="N5" s="52" t="s">
        <v>36</v>
      </c>
      <c r="O5" s="55" t="s">
        <v>37</v>
      </c>
      <c r="P5" s="55" t="s">
        <v>38</v>
      </c>
      <c r="Q5" s="52" t="s">
        <v>39</v>
      </c>
      <c r="R5" s="56" t="s">
        <v>40</v>
      </c>
    </row>
    <row r="6" spans="1:18" ht="23.25" customHeight="1" x14ac:dyDescent="0.25">
      <c r="B6" s="28" t="s">
        <v>41</v>
      </c>
      <c r="C6" s="29" t="s">
        <v>42</v>
      </c>
      <c r="D6" s="51">
        <v>4</v>
      </c>
      <c r="E6" s="52" t="s">
        <v>43</v>
      </c>
      <c r="F6" s="56" t="s">
        <v>25</v>
      </c>
      <c r="G6" s="68" t="s">
        <v>44</v>
      </c>
      <c r="H6" s="51" t="str">
        <f t="shared" si="1"/>
        <v>مؤسسه عبد العزيز أحمد الناصر</v>
      </c>
      <c r="I6" s="52" t="str">
        <f t="shared" si="2"/>
        <v>Abdul Aziz Ahmed Al Nasser</v>
      </c>
      <c r="J6" s="53">
        <v>45866</v>
      </c>
      <c r="K6" s="54" t="s">
        <v>27</v>
      </c>
      <c r="L6" s="52" t="s">
        <v>45</v>
      </c>
      <c r="M6" s="52">
        <v>32</v>
      </c>
      <c r="N6" s="52" t="s">
        <v>46</v>
      </c>
      <c r="O6" s="55" t="s">
        <v>47</v>
      </c>
      <c r="P6" s="55" t="s">
        <v>48</v>
      </c>
      <c r="Q6" s="52"/>
      <c r="R6" s="56"/>
    </row>
    <row r="7" spans="1:18" ht="23.25" customHeight="1" x14ac:dyDescent="0.25">
      <c r="B7" s="43" t="s">
        <v>49</v>
      </c>
      <c r="C7" s="44" t="s">
        <v>50</v>
      </c>
      <c r="D7" s="51">
        <v>5</v>
      </c>
      <c r="E7" s="52" t="s">
        <v>51</v>
      </c>
      <c r="F7" s="56" t="s">
        <v>25</v>
      </c>
      <c r="G7" s="68" t="s">
        <v>52</v>
      </c>
      <c r="H7" s="51" t="str">
        <f t="shared" si="1"/>
        <v>مؤسسه انجاز الأثير للمقاولات</v>
      </c>
      <c r="I7" s="52" t="str">
        <f t="shared" si="2"/>
        <v>Injaz Al-Atheer Contracting</v>
      </c>
      <c r="J7" s="53">
        <v>45869</v>
      </c>
      <c r="K7" s="54" t="s">
        <v>27</v>
      </c>
      <c r="L7" s="52" t="s">
        <v>53</v>
      </c>
      <c r="M7" s="52">
        <v>32</v>
      </c>
      <c r="N7" s="52" t="s">
        <v>54</v>
      </c>
      <c r="O7" s="55" t="s">
        <v>55</v>
      </c>
      <c r="P7" s="55" t="s">
        <v>56</v>
      </c>
      <c r="Q7" s="52"/>
      <c r="R7" s="56"/>
    </row>
    <row r="8" spans="1:18" ht="23.25" customHeight="1" x14ac:dyDescent="0.25">
      <c r="B8" s="43" t="s">
        <v>57</v>
      </c>
      <c r="C8" s="44" t="s">
        <v>58</v>
      </c>
      <c r="D8" s="51">
        <v>6</v>
      </c>
      <c r="E8" s="52" t="s">
        <v>59</v>
      </c>
      <c r="F8" s="56" t="s">
        <v>25</v>
      </c>
      <c r="G8" s="68" t="s">
        <v>60</v>
      </c>
      <c r="H8" s="51" t="str">
        <f t="shared" si="1"/>
        <v>مؤسسه خديجة صالح سالم البلوى</v>
      </c>
      <c r="I8" s="52" t="str">
        <f t="shared" si="2"/>
        <v>Khadija Saleh Salem Al-Balawi</v>
      </c>
      <c r="J8" s="53">
        <v>45915</v>
      </c>
      <c r="K8" s="54" t="s">
        <v>27</v>
      </c>
      <c r="L8" s="52" t="s">
        <v>61</v>
      </c>
      <c r="M8" s="52">
        <v>33</v>
      </c>
      <c r="N8" s="52"/>
      <c r="O8" s="55" t="s">
        <v>62</v>
      </c>
      <c r="P8" s="55" t="s">
        <v>63</v>
      </c>
      <c r="Q8" s="52"/>
      <c r="R8" s="56"/>
    </row>
    <row r="9" spans="1:18" ht="23.25" customHeight="1" x14ac:dyDescent="0.25">
      <c r="B9" s="43" t="s">
        <v>64</v>
      </c>
      <c r="C9" s="44" t="s">
        <v>65</v>
      </c>
      <c r="D9" s="51">
        <v>7</v>
      </c>
      <c r="E9" s="52" t="s">
        <v>66</v>
      </c>
      <c r="F9" s="56" t="s">
        <v>25</v>
      </c>
      <c r="G9" s="68" t="s">
        <v>67</v>
      </c>
      <c r="H9" s="51" t="str">
        <f t="shared" si="1"/>
        <v>مؤسسه تمارا المستقبل للصيانة</v>
      </c>
      <c r="I9" s="52" t="str">
        <f t="shared" si="2"/>
        <v>Tamara Al-Mustaqbal for Maintenance</v>
      </c>
      <c r="J9" s="53">
        <v>45922</v>
      </c>
      <c r="K9" s="54" t="s">
        <v>27</v>
      </c>
      <c r="L9" s="52" t="s">
        <v>68</v>
      </c>
      <c r="M9" s="52">
        <v>33</v>
      </c>
      <c r="N9" s="52" t="s">
        <v>69</v>
      </c>
      <c r="O9" s="55" t="s">
        <v>70</v>
      </c>
      <c r="P9" s="55" t="s">
        <v>71</v>
      </c>
      <c r="Q9" s="52"/>
      <c r="R9" s="56"/>
    </row>
    <row r="10" spans="1:18" ht="23.25" customHeight="1" x14ac:dyDescent="0.25">
      <c r="B10" s="28" t="s">
        <v>72</v>
      </c>
      <c r="C10" s="29" t="s">
        <v>73</v>
      </c>
      <c r="D10" s="51">
        <v>8</v>
      </c>
      <c r="E10" s="52" t="s">
        <v>74</v>
      </c>
      <c r="F10" s="56" t="s">
        <v>25</v>
      </c>
      <c r="G10" s="68" t="s">
        <v>75</v>
      </c>
      <c r="H10" s="51" t="str">
        <f t="shared" si="1"/>
        <v>مؤسسه فلاح دريميح المطيرى</v>
      </c>
      <c r="I10" s="52" t="str">
        <f t="shared" si="2"/>
        <v>Falah Dreimeh Al-Mutairi</v>
      </c>
      <c r="J10" s="53">
        <v>45918</v>
      </c>
      <c r="K10" s="54" t="s">
        <v>27</v>
      </c>
      <c r="L10" s="52" t="s">
        <v>76</v>
      </c>
      <c r="M10" s="52">
        <v>33</v>
      </c>
      <c r="N10" s="52" t="s">
        <v>77</v>
      </c>
      <c r="O10" s="52" t="s">
        <v>78</v>
      </c>
      <c r="P10" s="52" t="s">
        <v>79</v>
      </c>
      <c r="Q10" s="52"/>
      <c r="R10" s="56"/>
    </row>
    <row r="11" spans="1:18" ht="23.25" customHeight="1" x14ac:dyDescent="0.25">
      <c r="B11" s="28" t="s">
        <v>80</v>
      </c>
      <c r="C11" s="29" t="s">
        <v>81</v>
      </c>
      <c r="D11" s="51">
        <v>9</v>
      </c>
      <c r="E11" s="52" t="s">
        <v>82</v>
      </c>
      <c r="F11" s="56" t="s">
        <v>83</v>
      </c>
      <c r="G11" s="68" t="s">
        <v>84</v>
      </c>
      <c r="H11" s="51" t="str">
        <f t="shared" si="1"/>
        <v>مؤسسه سلسبيل الصفا للتشغيل والصيانة</v>
      </c>
      <c r="I11" s="52" t="str">
        <f t="shared" si="2"/>
        <v>Salsabeel Al-Safa for Operation and Maintenance</v>
      </c>
      <c r="J11" s="53">
        <v>45794</v>
      </c>
      <c r="K11" s="52" t="s">
        <v>85</v>
      </c>
      <c r="L11" s="52" t="s">
        <v>86</v>
      </c>
      <c r="M11" s="52" t="s">
        <v>87</v>
      </c>
      <c r="N11" s="52" t="s">
        <v>88</v>
      </c>
      <c r="O11" s="52"/>
      <c r="P11" s="52"/>
      <c r="Q11" s="52"/>
      <c r="R11" s="56"/>
    </row>
    <row r="12" spans="1:18" ht="23.25" customHeight="1" x14ac:dyDescent="0.25">
      <c r="B12" s="28" t="s">
        <v>89</v>
      </c>
      <c r="C12" s="29" t="s">
        <v>90</v>
      </c>
      <c r="D12" s="51">
        <v>10</v>
      </c>
      <c r="E12" s="52" t="s">
        <v>43</v>
      </c>
      <c r="F12" s="56" t="s">
        <v>91</v>
      </c>
      <c r="G12" s="68" t="s">
        <v>92</v>
      </c>
      <c r="H12" s="51" t="str">
        <f t="shared" si="1"/>
        <v>البنائيين العرب</v>
      </c>
      <c r="I12" s="52" t="str">
        <f t="shared" si="2"/>
        <v>ACCC</v>
      </c>
      <c r="J12" s="53">
        <v>45909</v>
      </c>
      <c r="K12" s="52" t="s">
        <v>93</v>
      </c>
      <c r="L12" s="52" t="s">
        <v>94</v>
      </c>
      <c r="M12" s="52" t="s">
        <v>87</v>
      </c>
      <c r="N12" s="52"/>
      <c r="O12" s="52"/>
      <c r="P12" s="52"/>
      <c r="Q12" s="52"/>
      <c r="R12" s="56"/>
    </row>
    <row r="13" spans="1:18" ht="23.25" customHeight="1" x14ac:dyDescent="0.25">
      <c r="B13" s="28" t="s">
        <v>95</v>
      </c>
      <c r="C13" s="29" t="s">
        <v>96</v>
      </c>
      <c r="D13" s="51">
        <v>11</v>
      </c>
      <c r="E13" s="52" t="s">
        <v>97</v>
      </c>
      <c r="F13" s="56" t="s">
        <v>25</v>
      </c>
      <c r="G13" s="69" t="s">
        <v>98</v>
      </c>
      <c r="H13" s="51" t="str">
        <f t="shared" si="1"/>
        <v>الخبرات العمالية</v>
      </c>
      <c r="I13" s="52" t="str">
        <f t="shared" si="2"/>
        <v>Global Expertise</v>
      </c>
      <c r="J13" s="53">
        <v>45935</v>
      </c>
      <c r="K13" s="54" t="s">
        <v>27</v>
      </c>
      <c r="L13" s="52" t="s">
        <v>99</v>
      </c>
      <c r="M13" s="52">
        <v>33</v>
      </c>
      <c r="N13" s="52" t="s">
        <v>100</v>
      </c>
      <c r="O13" s="52" t="s">
        <v>63</v>
      </c>
      <c r="P13" s="52" t="s">
        <v>62</v>
      </c>
      <c r="Q13" s="52" t="s">
        <v>101</v>
      </c>
      <c r="R13" s="56"/>
    </row>
    <row r="14" spans="1:18" ht="23.25" customHeight="1" x14ac:dyDescent="0.25">
      <c r="B14" s="43" t="s">
        <v>102</v>
      </c>
      <c r="C14" s="44" t="s">
        <v>103</v>
      </c>
      <c r="D14" s="51">
        <v>12</v>
      </c>
      <c r="E14" s="52" t="s">
        <v>104</v>
      </c>
      <c r="F14" s="56" t="s">
        <v>25</v>
      </c>
      <c r="G14" s="69" t="s">
        <v>105</v>
      </c>
      <c r="H14" s="51" t="str">
        <f t="shared" si="1"/>
        <v>منظومة إعمار(لاغى)</v>
      </c>
      <c r="I14" s="52" t="str">
        <f t="shared" si="2"/>
        <v>Manzumat Emaar</v>
      </c>
      <c r="J14" s="53"/>
      <c r="K14" s="52" t="s">
        <v>27</v>
      </c>
      <c r="L14" s="52" t="s">
        <v>106</v>
      </c>
      <c r="M14" s="52">
        <v>33</v>
      </c>
      <c r="N14" s="52"/>
      <c r="O14" s="52" t="s">
        <v>107</v>
      </c>
      <c r="P14" s="52"/>
      <c r="Q14" s="52"/>
      <c r="R14" s="56"/>
    </row>
    <row r="15" spans="1:18" ht="23.25" customHeight="1" x14ac:dyDescent="0.25">
      <c r="B15" s="19" t="s">
        <v>108</v>
      </c>
      <c r="C15" s="21" t="s">
        <v>109</v>
      </c>
      <c r="D15" s="51">
        <v>13</v>
      </c>
      <c r="E15" s="52" t="s">
        <v>97</v>
      </c>
      <c r="F15" s="56" t="s">
        <v>25</v>
      </c>
      <c r="G15" s="69" t="s">
        <v>110</v>
      </c>
      <c r="H15" s="51" t="str">
        <f t="shared" si="1"/>
        <v>جوان الأولى</v>
      </c>
      <c r="I15" s="52" t="str">
        <f t="shared" si="2"/>
        <v>Giwan</v>
      </c>
      <c r="J15" s="53">
        <v>45935</v>
      </c>
      <c r="K15" s="54" t="s">
        <v>27</v>
      </c>
      <c r="L15" s="52" t="s">
        <v>111</v>
      </c>
      <c r="M15" s="52">
        <v>33</v>
      </c>
      <c r="N15" s="52" t="s">
        <v>112</v>
      </c>
      <c r="O15" s="52" t="s">
        <v>113</v>
      </c>
      <c r="P15" s="52"/>
      <c r="Q15" s="52"/>
      <c r="R15" s="56"/>
    </row>
    <row r="16" spans="1:18" ht="23.25" customHeight="1" x14ac:dyDescent="0.25">
      <c r="B16" s="43" t="s">
        <v>114</v>
      </c>
      <c r="C16" s="44" t="s">
        <v>115</v>
      </c>
      <c r="D16" s="51">
        <v>14</v>
      </c>
      <c r="E16" s="52" t="s">
        <v>116</v>
      </c>
      <c r="F16" s="56" t="s">
        <v>117</v>
      </c>
      <c r="G16" s="69" t="s">
        <v>118</v>
      </c>
      <c r="H16" s="51" t="str">
        <f t="shared" si="1"/>
        <v>حسين (لاغى)</v>
      </c>
      <c r="I16" s="52" t="str">
        <f t="shared" si="2"/>
        <v xml:space="preserve">Hussain </v>
      </c>
      <c r="J16" s="53"/>
      <c r="K16" s="52" t="s">
        <v>119</v>
      </c>
      <c r="L16" s="52" t="s">
        <v>120</v>
      </c>
      <c r="M16" s="52">
        <v>32</v>
      </c>
      <c r="N16" s="52"/>
      <c r="O16" s="52" t="s">
        <v>121</v>
      </c>
      <c r="P16" s="52"/>
      <c r="Q16" s="52"/>
      <c r="R16" s="56"/>
    </row>
    <row r="17" spans="2:18" ht="23.25" customHeight="1" x14ac:dyDescent="0.25">
      <c r="B17" s="19" t="s">
        <v>122</v>
      </c>
      <c r="C17" s="21" t="s">
        <v>123</v>
      </c>
      <c r="D17" s="51">
        <v>15</v>
      </c>
      <c r="E17" s="52" t="s">
        <v>43</v>
      </c>
      <c r="F17" s="56" t="s">
        <v>117</v>
      </c>
      <c r="G17" s="69" t="s">
        <v>124</v>
      </c>
      <c r="H17" s="51" t="str">
        <f t="shared" si="1"/>
        <v xml:space="preserve"> على السيد</v>
      </c>
      <c r="I17" s="52" t="str">
        <f t="shared" si="2"/>
        <v>Ali Elsayed</v>
      </c>
      <c r="J17" s="53">
        <v>45939</v>
      </c>
      <c r="K17" s="52" t="s">
        <v>119</v>
      </c>
      <c r="L17" s="52" t="s">
        <v>125</v>
      </c>
      <c r="M17" s="52">
        <v>72</v>
      </c>
      <c r="N17" s="52"/>
      <c r="O17" s="52" t="s">
        <v>37</v>
      </c>
      <c r="P17" s="52" t="s">
        <v>38</v>
      </c>
      <c r="Q17" s="52" t="s">
        <v>39</v>
      </c>
      <c r="R17" s="56"/>
    </row>
    <row r="18" spans="2:18" ht="23.25" customHeight="1" x14ac:dyDescent="0.25">
      <c r="B18" s="43" t="s">
        <v>126</v>
      </c>
      <c r="C18" s="44" t="s">
        <v>127</v>
      </c>
      <c r="D18" s="51">
        <v>16</v>
      </c>
      <c r="E18" s="52" t="s">
        <v>43</v>
      </c>
      <c r="F18" s="56" t="s">
        <v>117</v>
      </c>
      <c r="G18" s="69" t="s">
        <v>128</v>
      </c>
      <c r="H18" s="51" t="str">
        <f t="shared" si="1"/>
        <v>أحمد عصام (لاغى )</v>
      </c>
      <c r="I18" s="52" t="str">
        <f t="shared" si="2"/>
        <v>Ahmed Essam</v>
      </c>
      <c r="J18" s="53"/>
      <c r="K18" s="52" t="s">
        <v>129</v>
      </c>
      <c r="L18" s="52" t="s">
        <v>130</v>
      </c>
      <c r="M18" s="52">
        <v>72</v>
      </c>
      <c r="N18" s="52"/>
      <c r="O18" s="52" t="s">
        <v>40</v>
      </c>
      <c r="P18" s="52" t="s">
        <v>29</v>
      </c>
      <c r="Q18" s="52" t="s">
        <v>30</v>
      </c>
      <c r="R18" s="56"/>
    </row>
    <row r="19" spans="2:18" ht="23.25" customHeight="1" x14ac:dyDescent="0.25">
      <c r="B19" s="19" t="s">
        <v>131</v>
      </c>
      <c r="C19" s="21" t="s">
        <v>132</v>
      </c>
      <c r="D19" s="51">
        <v>17</v>
      </c>
      <c r="E19" s="52" t="s">
        <v>43</v>
      </c>
      <c r="F19" s="56" t="s">
        <v>19</v>
      </c>
      <c r="G19" s="69" t="s">
        <v>133</v>
      </c>
      <c r="H19" s="57" t="str">
        <f t="shared" si="1"/>
        <v>أحمد السوهاجى</v>
      </c>
      <c r="I19" s="58" t="str">
        <f t="shared" si="2"/>
        <v>Ahmed Elsohagy</v>
      </c>
      <c r="J19" s="53">
        <v>45993</v>
      </c>
      <c r="K19" s="52" t="s">
        <v>21</v>
      </c>
      <c r="L19" s="58" t="s">
        <v>131</v>
      </c>
      <c r="M19" s="58">
        <v>33</v>
      </c>
      <c r="N19" s="58"/>
      <c r="O19" s="58" t="s">
        <v>38</v>
      </c>
      <c r="P19" s="58"/>
      <c r="Q19" s="58"/>
      <c r="R19" s="56"/>
    </row>
    <row r="20" spans="2:18" ht="23.25" customHeight="1" x14ac:dyDescent="0.25">
      <c r="B20" s="30" t="s">
        <v>134</v>
      </c>
      <c r="C20" s="31" t="s">
        <v>135</v>
      </c>
      <c r="D20" s="51" t="s">
        <v>136</v>
      </c>
      <c r="E20" s="52" t="s">
        <v>137</v>
      </c>
      <c r="F20" s="56" t="s">
        <v>138</v>
      </c>
      <c r="G20" s="69" t="s">
        <v>139</v>
      </c>
      <c r="H20" s="51" t="str">
        <f t="shared" si="1"/>
        <v>مؤسسة جاسم البحار (حوالة )</v>
      </c>
      <c r="I20" s="52" t="str">
        <f t="shared" si="2"/>
        <v>Jasim Albihar</v>
      </c>
      <c r="J20" s="53">
        <v>45976</v>
      </c>
      <c r="K20" s="59" t="s">
        <v>140</v>
      </c>
      <c r="L20" s="52" t="s">
        <v>141</v>
      </c>
      <c r="M20" s="52">
        <v>32</v>
      </c>
      <c r="N20" s="52" t="s">
        <v>142</v>
      </c>
      <c r="O20" s="55" t="s">
        <v>121</v>
      </c>
      <c r="P20" s="55" t="s">
        <v>143</v>
      </c>
      <c r="Q20" s="52"/>
      <c r="R20" s="56"/>
    </row>
    <row r="21" spans="2:18" ht="23.25" customHeight="1" x14ac:dyDescent="0.25">
      <c r="B21" s="43" t="s">
        <v>144</v>
      </c>
      <c r="C21" s="44" t="s">
        <v>145</v>
      </c>
      <c r="D21" s="51" t="s">
        <v>146</v>
      </c>
      <c r="E21" s="52" t="s">
        <v>24</v>
      </c>
      <c r="F21" s="56" t="s">
        <v>138</v>
      </c>
      <c r="G21" s="69" t="s">
        <v>147</v>
      </c>
      <c r="H21" s="51" t="str">
        <f t="shared" si="1"/>
        <v>مهندس كريم (لاغى)</v>
      </c>
      <c r="I21" s="52" t="str">
        <f t="shared" si="2"/>
        <v>Engineer Karim</v>
      </c>
      <c r="J21" s="53"/>
      <c r="K21" s="52" t="s">
        <v>140</v>
      </c>
      <c r="L21" s="52" t="s">
        <v>148</v>
      </c>
      <c r="M21" s="52">
        <v>32</v>
      </c>
      <c r="N21" s="52"/>
      <c r="O21" s="52" t="s">
        <v>55</v>
      </c>
      <c r="P21" s="52" t="s">
        <v>56</v>
      </c>
      <c r="Q21" s="52"/>
      <c r="R21" s="56"/>
    </row>
    <row r="22" spans="2:18" ht="23.25" customHeight="1" x14ac:dyDescent="0.25">
      <c r="B22" s="43" t="s">
        <v>149</v>
      </c>
      <c r="C22" s="44" t="s">
        <v>150</v>
      </c>
      <c r="D22" s="51" t="s">
        <v>151</v>
      </c>
      <c r="E22" s="52" t="s">
        <v>24</v>
      </c>
      <c r="F22" s="56" t="s">
        <v>138</v>
      </c>
      <c r="G22" s="69" t="s">
        <v>152</v>
      </c>
      <c r="H22" s="51" t="str">
        <f t="shared" si="1"/>
        <v>شركة الرحاب ( لاغى)</v>
      </c>
      <c r="I22" s="52" t="str">
        <f t="shared" si="2"/>
        <v>El-Rehab Company</v>
      </c>
      <c r="J22" s="53"/>
      <c r="K22" s="52" t="s">
        <v>140</v>
      </c>
      <c r="L22" s="52"/>
      <c r="M22" s="52">
        <v>33</v>
      </c>
      <c r="N22" s="52"/>
      <c r="O22" s="52" t="s">
        <v>63</v>
      </c>
      <c r="P22" s="52" t="s">
        <v>70</v>
      </c>
      <c r="Q22" s="52" t="s">
        <v>71</v>
      </c>
      <c r="R22" s="56"/>
    </row>
    <row r="23" spans="2:18" ht="23.25" customHeight="1" x14ac:dyDescent="0.25">
      <c r="B23" s="30" t="s">
        <v>153</v>
      </c>
      <c r="C23" s="31" t="s">
        <v>154</v>
      </c>
      <c r="D23" s="51" t="s">
        <v>155</v>
      </c>
      <c r="E23" s="52" t="s">
        <v>82</v>
      </c>
      <c r="F23" s="56" t="s">
        <v>138</v>
      </c>
      <c r="G23" s="69" t="s">
        <v>156</v>
      </c>
      <c r="H23" s="51" t="str">
        <f t="shared" si="1"/>
        <v>سعد يونس (كاش) - المجرة الشرقية</v>
      </c>
      <c r="I23" s="52" t="str">
        <f t="shared" si="2"/>
        <v>Saad Younis</v>
      </c>
      <c r="J23" s="53"/>
      <c r="K23" s="59" t="s">
        <v>140</v>
      </c>
      <c r="L23" s="52" t="s">
        <v>157</v>
      </c>
      <c r="M23" s="52">
        <v>32</v>
      </c>
      <c r="N23" s="52"/>
      <c r="O23" s="55" t="s">
        <v>47</v>
      </c>
      <c r="P23" s="55" t="s">
        <v>158</v>
      </c>
      <c r="Q23" s="52"/>
      <c r="R23" s="56"/>
    </row>
    <row r="24" spans="2:18" ht="23.25" customHeight="1" x14ac:dyDescent="0.25">
      <c r="B24" s="43"/>
      <c r="C24" s="44"/>
      <c r="D24" s="51" t="s">
        <v>159</v>
      </c>
      <c r="E24" s="52" t="s">
        <v>160</v>
      </c>
      <c r="F24" s="56"/>
      <c r="G24" s="72">
        <v>0</v>
      </c>
      <c r="H24" s="51">
        <f t="shared" ref="H24" si="3">B24</f>
        <v>0</v>
      </c>
      <c r="I24" s="52">
        <f t="shared" ref="I24" si="4">C24</f>
        <v>0</v>
      </c>
      <c r="J24" s="53"/>
      <c r="K24" s="52" t="s">
        <v>140</v>
      </c>
      <c r="L24" s="52" t="s">
        <v>111</v>
      </c>
      <c r="M24" s="52">
        <v>33</v>
      </c>
      <c r="N24" s="52"/>
      <c r="O24" s="52" t="s">
        <v>113</v>
      </c>
      <c r="P24" s="52"/>
      <c r="Q24" s="52"/>
      <c r="R24" s="56"/>
    </row>
    <row r="25" spans="2:18" ht="23.25" customHeight="1" x14ac:dyDescent="0.25">
      <c r="B25" s="30" t="s">
        <v>161</v>
      </c>
      <c r="C25" s="31" t="s">
        <v>96</v>
      </c>
      <c r="D25" s="51" t="s">
        <v>162</v>
      </c>
      <c r="E25" s="52" t="s">
        <v>97</v>
      </c>
      <c r="F25" s="56" t="s">
        <v>138</v>
      </c>
      <c r="G25" s="69" t="s">
        <v>163</v>
      </c>
      <c r="H25" s="51" t="str">
        <f t="shared" si="1"/>
        <v>الخبرات العمالية (حوالة )</v>
      </c>
      <c r="I25" s="52" t="str">
        <f t="shared" si="2"/>
        <v>Global Expertise</v>
      </c>
      <c r="J25" s="53">
        <v>45935</v>
      </c>
      <c r="K25" s="59" t="s">
        <v>140</v>
      </c>
      <c r="L25" s="52" t="s">
        <v>99</v>
      </c>
      <c r="M25" s="52">
        <v>33</v>
      </c>
      <c r="N25" s="52" t="s">
        <v>164</v>
      </c>
      <c r="O25" s="52" t="s">
        <v>62</v>
      </c>
      <c r="P25" s="52" t="s">
        <v>101</v>
      </c>
      <c r="Q25" s="52"/>
      <c r="R25" s="56"/>
    </row>
    <row r="26" spans="2:18" ht="23.25" customHeight="1" x14ac:dyDescent="0.25">
      <c r="B26" s="30" t="s">
        <v>165</v>
      </c>
      <c r="C26" s="31" t="s">
        <v>166</v>
      </c>
      <c r="D26" s="51" t="s">
        <v>167</v>
      </c>
      <c r="E26" s="52" t="s">
        <v>66</v>
      </c>
      <c r="F26" s="56" t="s">
        <v>138</v>
      </c>
      <c r="G26" s="69" t="s">
        <v>168</v>
      </c>
      <c r="H26" s="51" t="str">
        <f t="shared" si="1"/>
        <v>المتمكن للمقاولات(حوالة )</v>
      </c>
      <c r="I26" s="52" t="str">
        <f t="shared" si="2"/>
        <v>Tamkeen Contracting Company</v>
      </c>
      <c r="J26" s="53">
        <v>45976</v>
      </c>
      <c r="K26" s="59" t="s">
        <v>140</v>
      </c>
      <c r="L26" s="52" t="s">
        <v>169</v>
      </c>
      <c r="M26" s="52">
        <v>33</v>
      </c>
      <c r="N26" s="52" t="s">
        <v>170</v>
      </c>
      <c r="O26" s="52" t="s">
        <v>113</v>
      </c>
      <c r="P26" s="52"/>
      <c r="Q26" s="52"/>
      <c r="R26" s="56"/>
    </row>
    <row r="27" spans="2:18" ht="23.25" customHeight="1" x14ac:dyDescent="0.25">
      <c r="B27" s="30" t="s">
        <v>171</v>
      </c>
      <c r="C27" s="31" t="s">
        <v>73</v>
      </c>
      <c r="D27" s="51" t="s">
        <v>172</v>
      </c>
      <c r="E27" s="52" t="s">
        <v>74</v>
      </c>
      <c r="F27" s="56" t="s">
        <v>138</v>
      </c>
      <c r="G27" s="69" t="s">
        <v>173</v>
      </c>
      <c r="H27" s="51" t="str">
        <f t="shared" si="1"/>
        <v>مؤسسه فلاح دريميح المطيرى(لاغي)</v>
      </c>
      <c r="I27" s="52" t="str">
        <f t="shared" si="2"/>
        <v>Falah Dreimeh Al-Mutairi</v>
      </c>
      <c r="J27" s="53"/>
      <c r="K27" s="60" t="s">
        <v>140</v>
      </c>
      <c r="L27" s="52" t="s">
        <v>76</v>
      </c>
      <c r="M27" s="52">
        <v>33</v>
      </c>
      <c r="N27" s="52"/>
      <c r="O27" s="52" t="s">
        <v>78</v>
      </c>
      <c r="P27" s="52" t="s">
        <v>79</v>
      </c>
      <c r="Q27" s="52"/>
      <c r="R27" s="56"/>
    </row>
    <row r="28" spans="2:18" ht="23.25" customHeight="1" x14ac:dyDescent="0.25">
      <c r="B28" s="19" t="s">
        <v>174</v>
      </c>
      <c r="C28" s="21" t="s">
        <v>65</v>
      </c>
      <c r="D28" s="51" t="s">
        <v>175</v>
      </c>
      <c r="E28" s="52" t="s">
        <v>66</v>
      </c>
      <c r="F28" s="56" t="s">
        <v>138</v>
      </c>
      <c r="G28" s="69" t="s">
        <v>176</v>
      </c>
      <c r="H28" s="57" t="str">
        <f t="shared" si="1"/>
        <v>مؤسسه تمارا المستقبل للصيانة (لاغي)</v>
      </c>
      <c r="I28" s="58" t="str">
        <f t="shared" si="2"/>
        <v>Tamara Al-Mustaqbal for Maintenance</v>
      </c>
      <c r="J28" s="53"/>
      <c r="K28" s="59" t="s">
        <v>140</v>
      </c>
      <c r="L28" s="58" t="s">
        <v>68</v>
      </c>
      <c r="M28" s="58">
        <v>33</v>
      </c>
      <c r="N28" s="58"/>
      <c r="O28" s="58" t="s">
        <v>70</v>
      </c>
      <c r="P28" s="58" t="s">
        <v>71</v>
      </c>
      <c r="Q28" s="52"/>
      <c r="R28" s="56"/>
    </row>
    <row r="29" spans="2:18" ht="23.25" customHeight="1" x14ac:dyDescent="0.25">
      <c r="B29" s="19" t="s">
        <v>177</v>
      </c>
      <c r="C29" s="21" t="s">
        <v>178</v>
      </c>
      <c r="D29" s="51" t="s">
        <v>179</v>
      </c>
      <c r="E29" s="52" t="s">
        <v>137</v>
      </c>
      <c r="F29" s="56" t="s">
        <v>138</v>
      </c>
      <c r="G29" s="69" t="s">
        <v>180</v>
      </c>
      <c r="H29" s="51" t="str">
        <f t="shared" si="1"/>
        <v>جوان الأولى(لاغي )</v>
      </c>
      <c r="I29" s="52" t="str">
        <f t="shared" si="2"/>
        <v>Jowan Al-Oula</v>
      </c>
      <c r="J29" s="53"/>
      <c r="K29" s="60" t="s">
        <v>140</v>
      </c>
      <c r="L29" s="52"/>
      <c r="M29" s="52">
        <v>33</v>
      </c>
      <c r="N29" s="52"/>
      <c r="O29" s="52" t="s">
        <v>113</v>
      </c>
      <c r="P29" s="52"/>
      <c r="Q29" s="52"/>
      <c r="R29" s="56"/>
    </row>
    <row r="30" spans="2:18" ht="23.25" customHeight="1" x14ac:dyDescent="0.25">
      <c r="B30" s="32" t="s">
        <v>181</v>
      </c>
      <c r="C30" s="33" t="s">
        <v>18</v>
      </c>
      <c r="D30" s="51" t="s">
        <v>182</v>
      </c>
      <c r="E30" s="52" t="s">
        <v>43</v>
      </c>
      <c r="F30" s="56" t="s">
        <v>138</v>
      </c>
      <c r="G30" s="69" t="s">
        <v>183</v>
      </c>
      <c r="H30" s="51" t="str">
        <f t="shared" si="1"/>
        <v>خليج الكوثر للتجاره والمقاولات MEP</v>
      </c>
      <c r="I30" s="52" t="str">
        <f t="shared" si="2"/>
        <v>ALKAWTHER BAY COMPANY FOR TRADING AND CONTRACTING</v>
      </c>
      <c r="J30" s="53"/>
      <c r="K30" s="59" t="s">
        <v>140</v>
      </c>
      <c r="L30" s="52"/>
      <c r="M30" s="52"/>
      <c r="N30" s="52"/>
      <c r="O30" s="52"/>
      <c r="P30" s="52"/>
      <c r="Q30" s="52"/>
      <c r="R30" s="56"/>
    </row>
    <row r="31" spans="2:18" ht="23.25" customHeight="1" x14ac:dyDescent="0.25">
      <c r="B31" s="28" t="s">
        <v>184</v>
      </c>
      <c r="C31" s="29" t="s">
        <v>185</v>
      </c>
      <c r="D31" s="51">
        <v>29</v>
      </c>
      <c r="E31" s="52" t="s">
        <v>97</v>
      </c>
      <c r="F31" s="56" t="s">
        <v>19</v>
      </c>
      <c r="G31" s="69" t="s">
        <v>186</v>
      </c>
      <c r="H31" s="51" t="str">
        <f t="shared" si="1"/>
        <v>جمال</v>
      </c>
      <c r="I31" s="52" t="str">
        <f t="shared" si="2"/>
        <v>Gamal</v>
      </c>
      <c r="J31" s="53">
        <v>45972</v>
      </c>
      <c r="K31" s="52" t="s">
        <v>21</v>
      </c>
      <c r="L31" s="52" t="s">
        <v>187</v>
      </c>
      <c r="M31" s="52">
        <v>33</v>
      </c>
      <c r="N31" s="52"/>
      <c r="O31" s="52" t="s">
        <v>70</v>
      </c>
      <c r="P31" s="52" t="s">
        <v>71</v>
      </c>
      <c r="Q31" s="52"/>
      <c r="R31" s="56"/>
    </row>
    <row r="32" spans="2:18" ht="23.25" customHeight="1" x14ac:dyDescent="0.25">
      <c r="B32" s="19" t="s">
        <v>188</v>
      </c>
      <c r="C32" s="21" t="s">
        <v>189</v>
      </c>
      <c r="D32" s="51">
        <v>30</v>
      </c>
      <c r="E32" s="52" t="s">
        <v>74</v>
      </c>
      <c r="F32" s="56" t="s">
        <v>25</v>
      </c>
      <c r="G32" s="69" t="s">
        <v>190</v>
      </c>
      <c r="H32" s="51" t="str">
        <f>B32</f>
        <v xml:space="preserve">مؤسسة فاطمة العليانى </v>
      </c>
      <c r="I32" s="52" t="str">
        <f t="shared" si="2"/>
        <v>Fatma AlEliany</v>
      </c>
      <c r="J32" s="53">
        <v>45976</v>
      </c>
      <c r="K32" s="54" t="s">
        <v>27</v>
      </c>
      <c r="L32" s="52" t="s">
        <v>191</v>
      </c>
      <c r="M32" s="52">
        <v>32</v>
      </c>
      <c r="N32" s="52" t="s">
        <v>192</v>
      </c>
      <c r="O32" s="55" t="s">
        <v>143</v>
      </c>
      <c r="P32" s="52"/>
      <c r="Q32" s="52"/>
      <c r="R32" s="56"/>
    </row>
    <row r="33" spans="2:18" ht="30" x14ac:dyDescent="0.25">
      <c r="B33" s="30" t="s">
        <v>193</v>
      </c>
      <c r="C33" s="31" t="s">
        <v>194</v>
      </c>
      <c r="D33" s="51" t="s">
        <v>195</v>
      </c>
      <c r="E33" s="52" t="s">
        <v>196</v>
      </c>
      <c r="F33" s="56" t="s">
        <v>138</v>
      </c>
      <c r="G33" s="69" t="s">
        <v>197</v>
      </c>
      <c r="H33" s="51" t="str">
        <f>B33</f>
        <v>محمد عبد الله سيد بركات ( روعة) - كاش Mep</v>
      </c>
      <c r="I33" s="52" t="str">
        <f t="shared" si="2"/>
        <v xml:space="preserve">Rawaa </v>
      </c>
      <c r="J33" s="53">
        <v>45976</v>
      </c>
      <c r="K33" s="59" t="s">
        <v>140</v>
      </c>
      <c r="L33" s="52"/>
      <c r="M33" s="52" t="s">
        <v>198</v>
      </c>
      <c r="N33" s="52"/>
      <c r="O33" s="52" t="s">
        <v>199</v>
      </c>
      <c r="P33" s="52" t="s">
        <v>71</v>
      </c>
      <c r="Q33" s="52" t="s">
        <v>79</v>
      </c>
      <c r="R33" s="56" t="s">
        <v>78</v>
      </c>
    </row>
    <row r="34" spans="2:18" ht="23.25" customHeight="1" x14ac:dyDescent="0.25">
      <c r="B34" s="43" t="s">
        <v>200</v>
      </c>
      <c r="C34" s="44" t="s">
        <v>201</v>
      </c>
      <c r="D34" s="51" t="s">
        <v>202</v>
      </c>
      <c r="E34" s="52" t="s">
        <v>104</v>
      </c>
      <c r="F34" s="56" t="s">
        <v>203</v>
      </c>
      <c r="G34" s="69" t="s">
        <v>204</v>
      </c>
      <c r="H34" s="51" t="str">
        <f t="shared" si="1"/>
        <v>محمد مجاهد (لاغى)</v>
      </c>
      <c r="I34" s="52" t="str">
        <f t="shared" si="2"/>
        <v>Mohamed Mejahed</v>
      </c>
      <c r="J34" s="53">
        <v>45976</v>
      </c>
      <c r="K34" s="52" t="s">
        <v>205</v>
      </c>
      <c r="L34" s="52"/>
      <c r="M34" s="52">
        <v>72</v>
      </c>
      <c r="N34" s="52"/>
      <c r="O34" s="52" t="s">
        <v>206</v>
      </c>
      <c r="P34" s="52"/>
      <c r="Q34" s="52"/>
      <c r="R34" s="56"/>
    </row>
    <row r="35" spans="2:18" ht="23.25" customHeight="1" x14ac:dyDescent="0.25">
      <c r="B35" s="36" t="s">
        <v>207</v>
      </c>
      <c r="C35" s="37" t="s">
        <v>208</v>
      </c>
      <c r="D35" s="51" t="s">
        <v>209</v>
      </c>
      <c r="E35" s="52" t="s">
        <v>51</v>
      </c>
      <c r="F35" s="56" t="s">
        <v>210</v>
      </c>
      <c r="G35" s="69" t="s">
        <v>211</v>
      </c>
      <c r="H35" s="51" t="str">
        <f t="shared" si="1"/>
        <v>إسماعيل</v>
      </c>
      <c r="I35" s="52" t="str">
        <f t="shared" si="2"/>
        <v>Ismail</v>
      </c>
      <c r="J35" s="53">
        <v>45984</v>
      </c>
      <c r="K35" s="61" t="s">
        <v>212</v>
      </c>
      <c r="L35" s="52" t="s">
        <v>207</v>
      </c>
      <c r="M35" s="52">
        <v>72</v>
      </c>
      <c r="N35" s="52"/>
      <c r="O35" s="52" t="s">
        <v>37</v>
      </c>
      <c r="P35" s="52"/>
      <c r="Q35" s="52"/>
      <c r="R35" s="56"/>
    </row>
    <row r="36" spans="2:18" ht="23.25" customHeight="1" x14ac:dyDescent="0.25">
      <c r="B36" s="36" t="s">
        <v>213</v>
      </c>
      <c r="C36" s="37" t="s">
        <v>214</v>
      </c>
      <c r="D36" s="51" t="s">
        <v>215</v>
      </c>
      <c r="E36" s="52" t="s">
        <v>104</v>
      </c>
      <c r="F36" s="56" t="s">
        <v>210</v>
      </c>
      <c r="G36" s="69" t="s">
        <v>216</v>
      </c>
      <c r="H36" s="51" t="str">
        <f t="shared" si="1"/>
        <v>الخبرات العمالية ( بلوك) - مقيد</v>
      </c>
      <c r="I36" s="52" t="str">
        <f t="shared" si="2"/>
        <v>Mokaid</v>
      </c>
      <c r="J36" s="53">
        <v>45964</v>
      </c>
      <c r="K36" s="61" t="s">
        <v>212</v>
      </c>
      <c r="L36" s="52" t="s">
        <v>217</v>
      </c>
      <c r="M36" s="52">
        <v>72</v>
      </c>
      <c r="N36" s="52"/>
      <c r="O36" s="52" t="s">
        <v>38</v>
      </c>
      <c r="P36" s="52"/>
      <c r="Q36" s="52"/>
      <c r="R36" s="56"/>
    </row>
    <row r="37" spans="2:18" ht="23.25" customHeight="1" x14ac:dyDescent="0.25">
      <c r="B37" s="36" t="s">
        <v>218</v>
      </c>
      <c r="C37" s="37" t="s">
        <v>219</v>
      </c>
      <c r="D37" s="51" t="s">
        <v>220</v>
      </c>
      <c r="E37" s="52" t="s">
        <v>59</v>
      </c>
      <c r="F37" s="56" t="s">
        <v>210</v>
      </c>
      <c r="G37" s="69" t="s">
        <v>221</v>
      </c>
      <c r="H37" s="51" t="str">
        <f t="shared" si="1"/>
        <v>كمال- (بلوك)</v>
      </c>
      <c r="I37" s="52" t="str">
        <f t="shared" si="2"/>
        <v>Kamal</v>
      </c>
      <c r="J37" s="53">
        <v>45998</v>
      </c>
      <c r="K37" s="61" t="s">
        <v>212</v>
      </c>
      <c r="L37" s="52" t="s">
        <v>222</v>
      </c>
      <c r="M37" s="52">
        <v>72</v>
      </c>
      <c r="N37" s="52"/>
      <c r="O37" s="52" t="s">
        <v>30</v>
      </c>
      <c r="P37" s="52"/>
      <c r="Q37" s="52"/>
      <c r="R37" s="56"/>
    </row>
    <row r="38" spans="2:18" ht="23.25" customHeight="1" x14ac:dyDescent="0.25">
      <c r="B38" s="36" t="s">
        <v>223</v>
      </c>
      <c r="C38" s="37" t="s">
        <v>224</v>
      </c>
      <c r="D38" s="51" t="s">
        <v>225</v>
      </c>
      <c r="E38" s="52" t="s">
        <v>43</v>
      </c>
      <c r="F38" s="56" t="s">
        <v>210</v>
      </c>
      <c r="G38" s="69" t="s">
        <v>226</v>
      </c>
      <c r="H38" s="51" t="str">
        <f t="shared" si="1"/>
        <v>عبد الملك( بلوك) /شهباز</v>
      </c>
      <c r="I38" s="52" t="str">
        <f t="shared" si="2"/>
        <v>Abdelmalek / Shahbaz</v>
      </c>
      <c r="J38" s="53">
        <v>45985</v>
      </c>
      <c r="K38" s="61" t="s">
        <v>212</v>
      </c>
      <c r="L38" s="52" t="s">
        <v>227</v>
      </c>
      <c r="M38" s="52">
        <v>32</v>
      </c>
      <c r="N38" s="52"/>
      <c r="O38" s="55" t="s">
        <v>121</v>
      </c>
      <c r="P38" s="52"/>
      <c r="Q38" s="52"/>
      <c r="R38" s="56"/>
    </row>
    <row r="39" spans="2:18" ht="23.25" customHeight="1" x14ac:dyDescent="0.25">
      <c r="B39" s="43" t="s">
        <v>228</v>
      </c>
      <c r="C39" s="44" t="s">
        <v>229</v>
      </c>
      <c r="D39" s="51" t="s">
        <v>230</v>
      </c>
      <c r="E39" s="52" t="s">
        <v>104</v>
      </c>
      <c r="F39" s="56" t="s">
        <v>210</v>
      </c>
      <c r="G39" s="69" t="s">
        <v>231</v>
      </c>
      <c r="H39" s="51" t="str">
        <f t="shared" si="1"/>
        <v>مالك( بلوك) ( لاغى)</v>
      </c>
      <c r="I39" s="52" t="str">
        <f t="shared" si="2"/>
        <v>Malek</v>
      </c>
      <c r="J39" s="53"/>
      <c r="K39" s="52" t="s">
        <v>212</v>
      </c>
      <c r="L39" s="52" t="s">
        <v>232</v>
      </c>
      <c r="M39" s="52">
        <v>72</v>
      </c>
      <c r="N39" s="52"/>
      <c r="O39" s="52" t="s">
        <v>38</v>
      </c>
      <c r="P39" s="52"/>
      <c r="Q39" s="52"/>
      <c r="R39" s="56"/>
    </row>
    <row r="40" spans="2:18" ht="23.25" customHeight="1" thickBot="1" x14ac:dyDescent="0.3">
      <c r="B40" s="34" t="s">
        <v>233</v>
      </c>
      <c r="C40" s="35" t="s">
        <v>234</v>
      </c>
      <c r="D40" s="51" t="s">
        <v>235</v>
      </c>
      <c r="E40" s="52" t="s">
        <v>104</v>
      </c>
      <c r="F40" s="56" t="s">
        <v>138</v>
      </c>
      <c r="G40" s="69" t="s">
        <v>236</v>
      </c>
      <c r="H40" s="51" t="str">
        <f t="shared" si="1"/>
        <v>محمد محى (كاش)(أكبر)</v>
      </c>
      <c r="I40" s="52" t="str">
        <f t="shared" si="2"/>
        <v>Mohamed Mohy</v>
      </c>
      <c r="J40" s="53"/>
      <c r="K40" s="59" t="s">
        <v>140</v>
      </c>
      <c r="L40" s="52" t="s">
        <v>237</v>
      </c>
      <c r="M40" s="52">
        <v>72</v>
      </c>
      <c r="N40" s="52"/>
      <c r="O40" s="52" t="s">
        <v>40</v>
      </c>
      <c r="P40" s="52" t="s">
        <v>29</v>
      </c>
      <c r="Q40" s="52" t="s">
        <v>30</v>
      </c>
      <c r="R40" s="56"/>
    </row>
    <row r="41" spans="2:18" ht="23.25" customHeight="1" x14ac:dyDescent="0.25">
      <c r="B41" s="43"/>
      <c r="C41" s="44"/>
      <c r="D41" s="51">
        <v>39</v>
      </c>
      <c r="E41" s="52" t="s">
        <v>160</v>
      </c>
      <c r="F41" s="56"/>
      <c r="G41" s="72">
        <v>0</v>
      </c>
      <c r="H41" s="51">
        <f t="shared" si="1"/>
        <v>0</v>
      </c>
      <c r="I41" s="52">
        <f t="shared" si="2"/>
        <v>0</v>
      </c>
      <c r="J41" s="53"/>
      <c r="K41" s="52"/>
      <c r="L41" s="52"/>
      <c r="M41" s="52"/>
      <c r="N41" s="52"/>
      <c r="O41" s="52"/>
      <c r="P41" s="52"/>
      <c r="Q41" s="52"/>
      <c r="R41" s="56"/>
    </row>
    <row r="42" spans="2:18" ht="23.25" customHeight="1" x14ac:dyDescent="0.25">
      <c r="B42" s="28" t="s">
        <v>238</v>
      </c>
      <c r="C42" s="29" t="s">
        <v>127</v>
      </c>
      <c r="D42" s="51">
        <v>40</v>
      </c>
      <c r="E42" s="52" t="s">
        <v>43</v>
      </c>
      <c r="F42" s="56" t="s">
        <v>117</v>
      </c>
      <c r="G42" s="69" t="s">
        <v>239</v>
      </c>
      <c r="H42" s="51" t="str">
        <f t="shared" si="1"/>
        <v>أحمد عصام ( نجار)</v>
      </c>
      <c r="I42" s="52" t="str">
        <f t="shared" si="2"/>
        <v>Ahmed Essam</v>
      </c>
      <c r="J42" s="53">
        <v>45922</v>
      </c>
      <c r="K42" s="52" t="s">
        <v>119</v>
      </c>
      <c r="L42" s="52"/>
      <c r="M42" s="52"/>
      <c r="N42" s="52"/>
      <c r="O42" s="52"/>
      <c r="P42" s="52"/>
      <c r="Q42" s="52"/>
      <c r="R42" s="56"/>
    </row>
    <row r="43" spans="2:18" ht="23.25" customHeight="1" x14ac:dyDescent="0.25">
      <c r="B43" s="28" t="s">
        <v>240</v>
      </c>
      <c r="C43" s="29" t="s">
        <v>115</v>
      </c>
      <c r="D43" s="51">
        <v>41</v>
      </c>
      <c r="E43" s="52" t="s">
        <v>116</v>
      </c>
      <c r="F43" s="56" t="s">
        <v>117</v>
      </c>
      <c r="G43" s="69" t="s">
        <v>241</v>
      </c>
      <c r="H43" s="51" t="str">
        <f t="shared" si="1"/>
        <v>حسين ( نجار )</v>
      </c>
      <c r="I43" s="52" t="str">
        <f t="shared" si="2"/>
        <v xml:space="preserve">Hussain </v>
      </c>
      <c r="J43" s="53">
        <v>45955</v>
      </c>
      <c r="K43" s="52" t="s">
        <v>119</v>
      </c>
      <c r="L43" s="52"/>
      <c r="M43" s="52"/>
      <c r="N43" s="52"/>
      <c r="O43" s="52"/>
      <c r="P43" s="52"/>
      <c r="Q43" s="52"/>
      <c r="R43" s="56"/>
    </row>
    <row r="44" spans="2:18" ht="23.25" customHeight="1" x14ac:dyDescent="0.25">
      <c r="B44" s="43" t="s">
        <v>242</v>
      </c>
      <c r="C44" s="44" t="s">
        <v>243</v>
      </c>
      <c r="D44" s="51">
        <v>42</v>
      </c>
      <c r="E44" s="52" t="s">
        <v>104</v>
      </c>
      <c r="F44" s="56" t="s">
        <v>203</v>
      </c>
      <c r="G44" s="69" t="s">
        <v>244</v>
      </c>
      <c r="H44" s="51" t="str">
        <f t="shared" si="1"/>
        <v>مصطفى (لاغى)</v>
      </c>
      <c r="I44" s="52" t="str">
        <f t="shared" si="2"/>
        <v>Mustafa</v>
      </c>
      <c r="J44" s="53"/>
      <c r="K44" s="52" t="s">
        <v>205</v>
      </c>
      <c r="L44" s="52"/>
      <c r="M44" s="52"/>
      <c r="N44" s="52"/>
      <c r="O44" s="52"/>
      <c r="P44" s="52"/>
      <c r="Q44" s="52"/>
      <c r="R44" s="56"/>
    </row>
    <row r="45" spans="2:18" ht="23.25" customHeight="1" x14ac:dyDescent="0.25">
      <c r="B45" s="19" t="s">
        <v>245</v>
      </c>
      <c r="C45" s="21" t="s">
        <v>246</v>
      </c>
      <c r="D45" s="51">
        <v>45</v>
      </c>
      <c r="E45" s="52" t="s">
        <v>43</v>
      </c>
      <c r="F45" s="56" t="s">
        <v>203</v>
      </c>
      <c r="G45" s="69" t="s">
        <v>247</v>
      </c>
      <c r="H45" s="51" t="str">
        <f t="shared" ref="H45:H46" si="5">B45</f>
        <v xml:space="preserve">احمد العجوز ( حداد ) </v>
      </c>
      <c r="I45" s="52" t="str">
        <f t="shared" ref="I45:I46" si="6">C45</f>
        <v>Ahmed Al Agoz</v>
      </c>
      <c r="J45" s="53">
        <v>45915</v>
      </c>
      <c r="K45" s="52" t="s">
        <v>205</v>
      </c>
      <c r="L45" s="52"/>
      <c r="M45" s="52"/>
      <c r="N45" s="52"/>
      <c r="O45" s="52"/>
      <c r="P45" s="52"/>
      <c r="Q45" s="52"/>
      <c r="R45" s="56"/>
    </row>
    <row r="46" spans="2:18" ht="23.25" customHeight="1" x14ac:dyDescent="0.25">
      <c r="B46" s="19" t="s">
        <v>248</v>
      </c>
      <c r="C46" s="21" t="s">
        <v>249</v>
      </c>
      <c r="D46" s="51">
        <v>46</v>
      </c>
      <c r="E46" s="52" t="s">
        <v>43</v>
      </c>
      <c r="F46" s="56" t="s">
        <v>203</v>
      </c>
      <c r="G46" s="69" t="s">
        <v>250</v>
      </c>
      <c r="H46" s="51" t="str">
        <f t="shared" si="5"/>
        <v xml:space="preserve">أحمد عبد العظيم </v>
      </c>
      <c r="I46" s="52" t="str">
        <f t="shared" si="6"/>
        <v xml:space="preserve">Ahmed Abdulazim </v>
      </c>
      <c r="J46" s="53">
        <v>45920</v>
      </c>
      <c r="K46" s="52" t="s">
        <v>205</v>
      </c>
      <c r="L46" s="52"/>
      <c r="M46" s="52"/>
      <c r="N46" s="52"/>
      <c r="O46" s="52"/>
      <c r="P46" s="52"/>
      <c r="Q46" s="52"/>
      <c r="R46" s="56"/>
    </row>
    <row r="47" spans="2:18" ht="23.25" customHeight="1" x14ac:dyDescent="0.25">
      <c r="B47" s="38" t="s">
        <v>251</v>
      </c>
      <c r="C47" s="39" t="s">
        <v>252</v>
      </c>
      <c r="D47" s="62" t="s">
        <v>253</v>
      </c>
      <c r="E47" s="63" t="s">
        <v>97</v>
      </c>
      <c r="F47" s="56" t="s">
        <v>138</v>
      </c>
      <c r="G47" s="69" t="s">
        <v>254</v>
      </c>
      <c r="H47" s="51" t="str">
        <f t="shared" si="1"/>
        <v>جمال الباجورى (كاش)</v>
      </c>
      <c r="I47" s="52" t="str">
        <f t="shared" si="2"/>
        <v xml:space="preserve">Gamal Elbagory </v>
      </c>
      <c r="J47" s="53"/>
      <c r="K47" s="59" t="s">
        <v>140</v>
      </c>
      <c r="L47" s="52"/>
      <c r="M47" s="52"/>
      <c r="N47" s="52"/>
      <c r="O47" s="52"/>
      <c r="P47" s="52"/>
      <c r="Q47" s="52"/>
      <c r="R47" s="56"/>
    </row>
    <row r="48" spans="2:18" ht="23.25" customHeight="1" x14ac:dyDescent="0.25">
      <c r="B48" s="38" t="s">
        <v>255</v>
      </c>
      <c r="C48" s="39" t="s">
        <v>256</v>
      </c>
      <c r="D48" s="62" t="s">
        <v>257</v>
      </c>
      <c r="E48" s="63" t="s">
        <v>82</v>
      </c>
      <c r="F48" s="56" t="s">
        <v>258</v>
      </c>
      <c r="G48" s="69" t="s">
        <v>259</v>
      </c>
      <c r="H48" s="51" t="str">
        <f t="shared" si="1"/>
        <v>شمس الحديثة (حوالة )</v>
      </c>
      <c r="I48" s="52" t="str">
        <f t="shared" si="2"/>
        <v>Shams Elhditha</v>
      </c>
      <c r="J48" s="53">
        <v>45976</v>
      </c>
      <c r="K48" s="59" t="s">
        <v>260</v>
      </c>
      <c r="L48" s="52"/>
      <c r="M48" s="52"/>
      <c r="N48" s="52" t="s">
        <v>261</v>
      </c>
      <c r="O48" s="52"/>
      <c r="P48" s="52"/>
      <c r="Q48" s="52"/>
      <c r="R48" s="56"/>
    </row>
    <row r="49" spans="2:18" ht="23.25" customHeight="1" x14ac:dyDescent="0.25">
      <c r="B49" s="19" t="s">
        <v>262</v>
      </c>
      <c r="C49" s="21" t="s">
        <v>263</v>
      </c>
      <c r="D49" s="51">
        <v>47</v>
      </c>
      <c r="E49" s="52" t="s">
        <v>104</v>
      </c>
      <c r="F49" s="56" t="s">
        <v>203</v>
      </c>
      <c r="G49" s="69" t="s">
        <v>264</v>
      </c>
      <c r="H49" s="51" t="str">
        <f t="shared" si="1"/>
        <v>محمد مجاهد ( حداد )</v>
      </c>
      <c r="I49" s="52" t="str">
        <f t="shared" si="2"/>
        <v>Mohamed Mejahed .</v>
      </c>
      <c r="J49" s="53">
        <v>45981</v>
      </c>
      <c r="K49" s="52" t="s">
        <v>205</v>
      </c>
      <c r="L49" s="52"/>
      <c r="M49" s="52"/>
      <c r="N49" s="52"/>
      <c r="O49" s="52"/>
      <c r="P49" s="52"/>
      <c r="Q49" s="52"/>
      <c r="R49" s="56"/>
    </row>
    <row r="50" spans="2:18" ht="23.25" customHeight="1" x14ac:dyDescent="0.25">
      <c r="B50" s="43" t="s">
        <v>265</v>
      </c>
      <c r="C50" s="44" t="s">
        <v>266</v>
      </c>
      <c r="D50" s="51">
        <v>48</v>
      </c>
      <c r="E50" s="52" t="s">
        <v>104</v>
      </c>
      <c r="F50" s="56" t="s">
        <v>19</v>
      </c>
      <c r="G50" s="69" t="s">
        <v>267</v>
      </c>
      <c r="H50" s="51" t="str">
        <f t="shared" si="1"/>
        <v xml:space="preserve">محمد حمادة ( نجار +حداد) لاغى  </v>
      </c>
      <c r="I50" s="52" t="str">
        <f t="shared" si="2"/>
        <v xml:space="preserve">Mohamed Hamada </v>
      </c>
      <c r="J50" s="53"/>
      <c r="K50" s="52" t="s">
        <v>21</v>
      </c>
      <c r="L50" s="52"/>
      <c r="M50" s="52"/>
      <c r="N50" s="52"/>
      <c r="O50" s="52"/>
      <c r="P50" s="52"/>
      <c r="Q50" s="52"/>
      <c r="R50" s="56"/>
    </row>
    <row r="51" spans="2:18" ht="23.25" customHeight="1" x14ac:dyDescent="0.25">
      <c r="B51" s="19" t="s">
        <v>268</v>
      </c>
      <c r="C51" s="21" t="s">
        <v>269</v>
      </c>
      <c r="D51" s="51">
        <v>49</v>
      </c>
      <c r="E51" s="52" t="s">
        <v>104</v>
      </c>
      <c r="F51" s="56" t="s">
        <v>203</v>
      </c>
      <c r="G51" s="69" t="s">
        <v>270</v>
      </c>
      <c r="H51" s="51" t="str">
        <f t="shared" si="1"/>
        <v xml:space="preserve">مصطفى ( حداد ) </v>
      </c>
      <c r="I51" s="52" t="str">
        <f t="shared" si="2"/>
        <v xml:space="preserve">Mostafa </v>
      </c>
      <c r="J51" s="53">
        <v>45940</v>
      </c>
      <c r="K51" s="52" t="s">
        <v>205</v>
      </c>
      <c r="L51" s="52"/>
      <c r="M51" s="52"/>
      <c r="N51" s="52"/>
      <c r="O51" s="52"/>
      <c r="P51" s="52"/>
      <c r="Q51" s="52"/>
      <c r="R51" s="56"/>
    </row>
    <row r="52" spans="2:18" ht="23.25" customHeight="1" x14ac:dyDescent="0.25">
      <c r="B52" s="19" t="s">
        <v>271</v>
      </c>
      <c r="C52" s="21" t="s">
        <v>272</v>
      </c>
      <c r="D52" s="51">
        <v>50</v>
      </c>
      <c r="E52" s="52" t="s">
        <v>273</v>
      </c>
      <c r="F52" s="56" t="s">
        <v>19</v>
      </c>
      <c r="G52" s="69" t="s">
        <v>274</v>
      </c>
      <c r="H52" s="51" t="str">
        <f t="shared" si="1"/>
        <v>خيرى ( حدادة + نجارة )</v>
      </c>
      <c r="I52" s="52" t="str">
        <f t="shared" si="2"/>
        <v>khairy</v>
      </c>
      <c r="J52" s="53">
        <v>45931</v>
      </c>
      <c r="K52" s="52" t="s">
        <v>21</v>
      </c>
      <c r="L52" s="52"/>
      <c r="M52" s="52"/>
      <c r="N52" s="52"/>
      <c r="O52" s="52"/>
      <c r="P52" s="52"/>
      <c r="Q52" s="52"/>
      <c r="R52" s="56"/>
    </row>
    <row r="53" spans="2:18" ht="23.25" customHeight="1" x14ac:dyDescent="0.25">
      <c r="B53" s="19" t="s">
        <v>275</v>
      </c>
      <c r="C53" s="21" t="s">
        <v>276</v>
      </c>
      <c r="D53" s="51">
        <v>51</v>
      </c>
      <c r="E53" s="52" t="s">
        <v>104</v>
      </c>
      <c r="F53" s="56" t="s">
        <v>203</v>
      </c>
      <c r="G53" s="69" t="s">
        <v>277</v>
      </c>
      <c r="H53" s="51" t="str">
        <f t="shared" si="1"/>
        <v>محمد الحلبى ( حداد )</v>
      </c>
      <c r="I53" s="52" t="str">
        <f t="shared" si="2"/>
        <v>Mohamed Elhalaby</v>
      </c>
      <c r="J53" s="53">
        <v>45976</v>
      </c>
      <c r="K53" s="52" t="s">
        <v>205</v>
      </c>
      <c r="L53" s="52"/>
      <c r="M53" s="52"/>
      <c r="N53" s="52"/>
      <c r="O53" s="52"/>
      <c r="P53" s="52"/>
      <c r="Q53" s="52"/>
      <c r="R53" s="56"/>
    </row>
    <row r="54" spans="2:18" ht="23.25" customHeight="1" x14ac:dyDescent="0.25">
      <c r="B54" s="19" t="s">
        <v>278</v>
      </c>
      <c r="C54" s="21" t="s">
        <v>279</v>
      </c>
      <c r="D54" s="51" t="s">
        <v>280</v>
      </c>
      <c r="E54" s="52" t="s">
        <v>24</v>
      </c>
      <c r="F54" s="56" t="s">
        <v>210</v>
      </c>
      <c r="G54" s="69" t="s">
        <v>281</v>
      </c>
      <c r="H54" s="51" t="str">
        <f t="shared" si="1"/>
        <v>افتخار  ( بلوك ) ( طارق)</v>
      </c>
      <c r="I54" s="52" t="str">
        <f t="shared" si="2"/>
        <v>Eftekhar ( Tarek )</v>
      </c>
      <c r="J54" s="53">
        <v>45999</v>
      </c>
      <c r="K54" s="52" t="s">
        <v>212</v>
      </c>
      <c r="L54" s="52"/>
      <c r="M54" s="52"/>
      <c r="N54" s="52"/>
      <c r="O54" s="52"/>
      <c r="P54" s="52"/>
      <c r="Q54" s="52"/>
      <c r="R54" s="56"/>
    </row>
    <row r="55" spans="2:18" ht="23.25" customHeight="1" x14ac:dyDescent="0.25">
      <c r="B55" s="19" t="s">
        <v>282</v>
      </c>
      <c r="C55" s="21" t="s">
        <v>283</v>
      </c>
      <c r="D55" s="51" t="s">
        <v>284</v>
      </c>
      <c r="E55" s="52" t="s">
        <v>82</v>
      </c>
      <c r="F55" s="56" t="s">
        <v>210</v>
      </c>
      <c r="G55" s="69" t="s">
        <v>285</v>
      </c>
      <c r="H55" s="51" t="str">
        <f t="shared" si="1"/>
        <v>سامى ( بلوك )</v>
      </c>
      <c r="I55" s="52" t="str">
        <f t="shared" si="2"/>
        <v>Sami</v>
      </c>
      <c r="J55" s="53">
        <v>46012</v>
      </c>
      <c r="K55" s="52" t="s">
        <v>212</v>
      </c>
      <c r="L55" s="52"/>
      <c r="M55" s="52"/>
      <c r="N55" s="52"/>
      <c r="O55" s="52"/>
      <c r="P55" s="52"/>
      <c r="Q55" s="52"/>
      <c r="R55" s="56"/>
    </row>
    <row r="56" spans="2:18" ht="23.25" customHeight="1" x14ac:dyDescent="0.25">
      <c r="B56" s="19" t="s">
        <v>286</v>
      </c>
      <c r="C56" s="21" t="s">
        <v>287</v>
      </c>
      <c r="D56" s="51">
        <v>54</v>
      </c>
      <c r="E56" s="52" t="s">
        <v>43</v>
      </c>
      <c r="F56" s="56" t="s">
        <v>203</v>
      </c>
      <c r="G56" s="69" t="s">
        <v>288</v>
      </c>
      <c r="H56" s="51" t="str">
        <f t="shared" si="1"/>
        <v xml:space="preserve">عطية ( حداد ) </v>
      </c>
      <c r="I56" s="52" t="str">
        <f t="shared" si="2"/>
        <v xml:space="preserve">Attia </v>
      </c>
      <c r="J56" s="53">
        <v>46008</v>
      </c>
      <c r="K56" s="52" t="s">
        <v>205</v>
      </c>
      <c r="L56" s="52"/>
      <c r="M56" s="52"/>
      <c r="N56" s="52"/>
      <c r="O56" s="52"/>
      <c r="P56" s="52"/>
      <c r="Q56" s="52"/>
      <c r="R56" s="56"/>
    </row>
    <row r="57" spans="2:18" ht="23.25" customHeight="1" x14ac:dyDescent="0.25">
      <c r="B57" s="19" t="s">
        <v>289</v>
      </c>
      <c r="C57" s="21" t="s">
        <v>290</v>
      </c>
      <c r="D57" s="51">
        <v>55</v>
      </c>
      <c r="E57" s="52" t="s">
        <v>43</v>
      </c>
      <c r="F57" s="56" t="s">
        <v>203</v>
      </c>
      <c r="G57" s="69" t="s">
        <v>291</v>
      </c>
      <c r="H57" s="51" t="str">
        <f t="shared" si="1"/>
        <v>أحمد المدنى ( حداد )</v>
      </c>
      <c r="I57" s="52" t="str">
        <f t="shared" si="2"/>
        <v>Ahmed Elmidany</v>
      </c>
      <c r="J57" s="53">
        <v>46002</v>
      </c>
      <c r="K57" s="52" t="s">
        <v>205</v>
      </c>
      <c r="L57" s="52"/>
      <c r="M57" s="52"/>
      <c r="N57" s="52"/>
      <c r="O57" s="52"/>
      <c r="P57" s="52"/>
      <c r="Q57" s="52"/>
      <c r="R57" s="56"/>
    </row>
    <row r="58" spans="2:18" ht="23.25" customHeight="1" x14ac:dyDescent="0.25">
      <c r="B58" s="19" t="s">
        <v>292</v>
      </c>
      <c r="C58" s="21" t="s">
        <v>293</v>
      </c>
      <c r="D58" s="51" t="s">
        <v>294</v>
      </c>
      <c r="E58" s="52" t="s">
        <v>295</v>
      </c>
      <c r="F58" s="56" t="s">
        <v>296</v>
      </c>
      <c r="G58" s="69" t="s">
        <v>297</v>
      </c>
      <c r="H58" s="51" t="str">
        <f t="shared" si="1"/>
        <v>أسامة ( مليس )</v>
      </c>
      <c r="I58" s="52" t="str">
        <f t="shared" si="2"/>
        <v xml:space="preserve">Osama </v>
      </c>
      <c r="J58" s="53">
        <v>46008</v>
      </c>
      <c r="K58" s="52" t="s">
        <v>298</v>
      </c>
      <c r="L58" s="52"/>
      <c r="M58" s="52"/>
      <c r="N58" s="52"/>
      <c r="O58" s="52"/>
      <c r="P58" s="52"/>
      <c r="Q58" s="52"/>
      <c r="R58" s="56"/>
    </row>
    <row r="59" spans="2:18" ht="23.25" customHeight="1" x14ac:dyDescent="0.25">
      <c r="B59" s="19" t="s">
        <v>299</v>
      </c>
      <c r="C59" s="21" t="s">
        <v>300</v>
      </c>
      <c r="D59" s="51" t="s">
        <v>301</v>
      </c>
      <c r="E59" s="52" t="s">
        <v>24</v>
      </c>
      <c r="F59" s="56" t="s">
        <v>296</v>
      </c>
      <c r="G59" s="69" t="s">
        <v>302</v>
      </c>
      <c r="H59" s="51" t="str">
        <f t="shared" si="1"/>
        <v>اسلام خان ( مليس )</v>
      </c>
      <c r="I59" s="52" t="str">
        <f t="shared" si="2"/>
        <v>Eslam</v>
      </c>
      <c r="J59" s="53">
        <v>46013</v>
      </c>
      <c r="K59" s="52" t="s">
        <v>298</v>
      </c>
      <c r="L59" s="52"/>
      <c r="M59" s="52"/>
      <c r="N59" s="52"/>
      <c r="O59" s="52"/>
      <c r="P59" s="52"/>
      <c r="Q59" s="52"/>
      <c r="R59" s="56"/>
    </row>
    <row r="60" spans="2:18" ht="23.25" customHeight="1" x14ac:dyDescent="0.25">
      <c r="B60" s="19" t="s">
        <v>303</v>
      </c>
      <c r="C60" s="21" t="s">
        <v>304</v>
      </c>
      <c r="D60" s="51" t="s">
        <v>305</v>
      </c>
      <c r="E60" s="52" t="s">
        <v>74</v>
      </c>
      <c r="F60" s="56" t="s">
        <v>296</v>
      </c>
      <c r="G60" s="69" t="s">
        <v>306</v>
      </c>
      <c r="H60" s="51" t="str">
        <f t="shared" si="1"/>
        <v>فازان ( مليس )</v>
      </c>
      <c r="I60" s="52" t="str">
        <f t="shared" si="2"/>
        <v>Fazan</v>
      </c>
      <c r="J60" s="53">
        <v>46011</v>
      </c>
      <c r="K60" s="52" t="s">
        <v>298</v>
      </c>
      <c r="L60" s="52"/>
      <c r="M60" s="52"/>
      <c r="N60" s="52"/>
      <c r="O60" s="52"/>
      <c r="P60" s="52"/>
      <c r="Q60" s="52"/>
      <c r="R60" s="56"/>
    </row>
    <row r="61" spans="2:18" ht="23.25" customHeight="1" x14ac:dyDescent="0.25">
      <c r="B61" s="19" t="s">
        <v>307</v>
      </c>
      <c r="C61" s="21" t="s">
        <v>308</v>
      </c>
      <c r="D61" s="51" t="s">
        <v>309</v>
      </c>
      <c r="E61" s="52" t="s">
        <v>82</v>
      </c>
      <c r="F61" s="56" t="s">
        <v>296</v>
      </c>
      <c r="G61" s="69" t="s">
        <v>310</v>
      </c>
      <c r="H61" s="51" t="str">
        <f t="shared" si="1"/>
        <v>شهباز ( مليس)( عبد الملك)</v>
      </c>
      <c r="I61" s="52" t="str">
        <f t="shared" si="2"/>
        <v>Shahbaz</v>
      </c>
      <c r="J61" s="53">
        <v>46011</v>
      </c>
      <c r="K61" s="52" t="s">
        <v>298</v>
      </c>
      <c r="L61" s="52"/>
      <c r="M61" s="52"/>
      <c r="N61" s="52"/>
      <c r="O61" s="52"/>
      <c r="P61" s="52"/>
      <c r="Q61" s="52"/>
      <c r="R61" s="56"/>
    </row>
    <row r="62" spans="2:18" ht="23.25" customHeight="1" x14ac:dyDescent="0.25">
      <c r="B62" s="19" t="s">
        <v>311</v>
      </c>
      <c r="C62" s="21" t="s">
        <v>312</v>
      </c>
      <c r="D62" s="51" t="s">
        <v>313</v>
      </c>
      <c r="E62" s="52" t="s">
        <v>43</v>
      </c>
      <c r="F62" s="56" t="s">
        <v>314</v>
      </c>
      <c r="G62" s="69" t="s">
        <v>315</v>
      </c>
      <c r="H62" s="51" t="str">
        <f t="shared" si="1"/>
        <v>احمد ذكى ( جبس )</v>
      </c>
      <c r="I62" s="52" t="str">
        <f t="shared" si="2"/>
        <v>Ahmed Zaki</v>
      </c>
      <c r="J62" s="53">
        <v>46016</v>
      </c>
      <c r="K62" s="52" t="s">
        <v>316</v>
      </c>
      <c r="L62" s="52"/>
      <c r="M62" s="52"/>
      <c r="N62" s="52"/>
      <c r="O62" s="52"/>
      <c r="P62" s="52"/>
      <c r="Q62" s="52"/>
      <c r="R62" s="56"/>
    </row>
    <row r="63" spans="2:18" ht="23.25" customHeight="1" x14ac:dyDescent="0.25">
      <c r="B63" s="19" t="s">
        <v>317</v>
      </c>
      <c r="C63" s="21" t="s">
        <v>318</v>
      </c>
      <c r="D63" s="51" t="s">
        <v>319</v>
      </c>
      <c r="E63" s="52" t="str">
        <f t="shared" ref="E63:E75" si="7">LEFT(C63,1)</f>
        <v>S</v>
      </c>
      <c r="F63" s="56" t="s">
        <v>138</v>
      </c>
      <c r="G63" s="69" t="s">
        <v>320</v>
      </c>
      <c r="H63" s="51" t="str">
        <f t="shared" si="1"/>
        <v>شهباز ( MEP ) (حوالة)</v>
      </c>
      <c r="I63" s="52" t="str">
        <f t="shared" si="2"/>
        <v>Shahbaz Mep</v>
      </c>
      <c r="J63" s="53"/>
      <c r="K63" s="59" t="s">
        <v>140</v>
      </c>
      <c r="L63" s="52"/>
      <c r="M63" s="52"/>
      <c r="N63" s="52"/>
      <c r="O63" s="52"/>
      <c r="P63" s="52"/>
      <c r="Q63" s="52"/>
      <c r="R63" s="56"/>
    </row>
    <row r="64" spans="2:18" ht="27" customHeight="1" x14ac:dyDescent="0.25">
      <c r="B64" s="30" t="s">
        <v>321</v>
      </c>
      <c r="C64" s="31" t="s">
        <v>322</v>
      </c>
      <c r="D64" s="51" t="s">
        <v>323</v>
      </c>
      <c r="E64" s="52" t="str">
        <f t="shared" si="7"/>
        <v>A</v>
      </c>
      <c r="F64" s="56" t="s">
        <v>138</v>
      </c>
      <c r="G64" s="69" t="s">
        <v>324</v>
      </c>
      <c r="H64" s="51" t="str">
        <f t="shared" si="1"/>
        <v>عارف (MEP) (كاش)</v>
      </c>
      <c r="I64" s="52" t="str">
        <f t="shared" si="2"/>
        <v>Aref</v>
      </c>
      <c r="J64" s="53">
        <v>46019</v>
      </c>
      <c r="K64" s="59" t="s">
        <v>140</v>
      </c>
      <c r="L64" s="52"/>
      <c r="M64" s="52">
        <v>33</v>
      </c>
      <c r="N64" s="52"/>
      <c r="O64" s="52" t="s">
        <v>325</v>
      </c>
      <c r="P64" s="52"/>
      <c r="Q64" s="52"/>
      <c r="R64" s="56"/>
    </row>
    <row r="65" spans="2:18" ht="23.25" customHeight="1" x14ac:dyDescent="0.25">
      <c r="B65" s="19" t="s">
        <v>326</v>
      </c>
      <c r="C65" s="21" t="s">
        <v>327</v>
      </c>
      <c r="D65" s="51" t="s">
        <v>328</v>
      </c>
      <c r="E65" s="52" t="str">
        <f t="shared" si="7"/>
        <v>K</v>
      </c>
      <c r="F65" s="56" t="s">
        <v>210</v>
      </c>
      <c r="G65" s="69" t="s">
        <v>329</v>
      </c>
      <c r="H65" s="51" t="str">
        <f t="shared" si="1"/>
        <v>كاشير خان  ( بلوك )</v>
      </c>
      <c r="I65" s="52" t="str">
        <f t="shared" si="2"/>
        <v>Kasher Khan</v>
      </c>
      <c r="J65" s="53"/>
      <c r="K65" s="52" t="s">
        <v>212</v>
      </c>
      <c r="L65" s="52"/>
      <c r="M65" s="52"/>
      <c r="N65" s="52"/>
      <c r="O65" s="52"/>
      <c r="P65" s="52"/>
      <c r="Q65" s="52"/>
      <c r="R65" s="56"/>
    </row>
    <row r="66" spans="2:18" ht="23.25" customHeight="1" x14ac:dyDescent="0.25">
      <c r="B66" s="19" t="s">
        <v>330</v>
      </c>
      <c r="C66" s="21" t="s">
        <v>331</v>
      </c>
      <c r="D66" s="51">
        <v>64</v>
      </c>
      <c r="E66" s="52" t="str">
        <f t="shared" si="7"/>
        <v>A</v>
      </c>
      <c r="F66" s="56" t="s">
        <v>203</v>
      </c>
      <c r="G66" s="69" t="s">
        <v>332</v>
      </c>
      <c r="H66" s="51" t="str">
        <f t="shared" si="1"/>
        <v>أبو ياسين ( حداد )</v>
      </c>
      <c r="I66" s="52" t="str">
        <f t="shared" si="2"/>
        <v>Abo Yassin</v>
      </c>
      <c r="J66" s="52"/>
      <c r="K66" s="52" t="s">
        <v>205</v>
      </c>
      <c r="L66" s="52"/>
      <c r="M66" s="52"/>
      <c r="N66" s="52"/>
      <c r="O66" s="52"/>
      <c r="P66" s="52"/>
      <c r="Q66" s="52"/>
      <c r="R66" s="56"/>
    </row>
    <row r="67" spans="2:18" ht="23.25" customHeight="1" x14ac:dyDescent="0.25">
      <c r="B67" s="19" t="s">
        <v>333</v>
      </c>
      <c r="C67" s="21" t="s">
        <v>334</v>
      </c>
      <c r="D67" s="51">
        <v>65</v>
      </c>
      <c r="E67" s="52" t="str">
        <f t="shared" si="7"/>
        <v>S</v>
      </c>
      <c r="F67" s="56"/>
      <c r="G67" s="69" t="str">
        <f t="shared" ref="G67" si="8">IF(E67="",0,_xlfn.CONCAT(E67,D67))</f>
        <v>S65</v>
      </c>
      <c r="H67" s="51" t="str">
        <f t="shared" si="1"/>
        <v>صالح (شدة معدنية)</v>
      </c>
      <c r="I67" s="52" t="str">
        <f t="shared" si="2"/>
        <v xml:space="preserve">Saleh </v>
      </c>
      <c r="J67" s="52"/>
      <c r="K67" s="52" t="s">
        <v>335</v>
      </c>
      <c r="L67" s="52"/>
      <c r="M67" s="52"/>
      <c r="N67" s="52"/>
      <c r="O67" s="52"/>
      <c r="P67" s="52"/>
      <c r="Q67" s="52"/>
      <c r="R67" s="56"/>
    </row>
    <row r="68" spans="2:18" ht="23.25" customHeight="1" x14ac:dyDescent="0.25">
      <c r="B68" s="19" t="s">
        <v>336</v>
      </c>
      <c r="C68" s="21" t="s">
        <v>337</v>
      </c>
      <c r="D68" s="51" t="s">
        <v>338</v>
      </c>
      <c r="E68" s="52" t="str">
        <f t="shared" si="7"/>
        <v>Z</v>
      </c>
      <c r="F68" s="56" t="s">
        <v>210</v>
      </c>
      <c r="G68" s="69" t="s">
        <v>339</v>
      </c>
      <c r="H68" s="51" t="str">
        <f t="shared" ref="H68:H131" si="9">B68</f>
        <v>زى شان (بلوك)</v>
      </c>
      <c r="I68" s="52" t="str">
        <f t="shared" ref="I68:I131" si="10">C68</f>
        <v>Ze Shan</v>
      </c>
      <c r="J68" s="52"/>
      <c r="K68" s="52" t="s">
        <v>212</v>
      </c>
      <c r="L68" s="52"/>
      <c r="M68" s="52"/>
      <c r="N68" s="52"/>
      <c r="O68" s="52"/>
      <c r="P68" s="52"/>
      <c r="Q68" s="52"/>
      <c r="R68" s="56"/>
    </row>
    <row r="69" spans="2:18" ht="23.25" customHeight="1" x14ac:dyDescent="0.25">
      <c r="B69" s="19" t="s">
        <v>340</v>
      </c>
      <c r="C69" s="21" t="s">
        <v>341</v>
      </c>
      <c r="D69" s="51" t="s">
        <v>342</v>
      </c>
      <c r="E69" s="52" t="str">
        <f t="shared" si="7"/>
        <v>F</v>
      </c>
      <c r="F69" s="56"/>
      <c r="G69" s="69" t="s">
        <v>343</v>
      </c>
      <c r="H69" s="51" t="str">
        <f t="shared" si="9"/>
        <v>فهد معدات ( كور)</v>
      </c>
      <c r="I69" s="52" t="str">
        <f t="shared" si="10"/>
        <v>Fahd</v>
      </c>
      <c r="J69" s="52"/>
      <c r="K69" s="52" t="s">
        <v>344</v>
      </c>
      <c r="L69" s="52"/>
      <c r="M69" s="52"/>
      <c r="N69" s="52"/>
      <c r="O69" s="52"/>
      <c r="P69" s="52"/>
      <c r="Q69" s="52"/>
      <c r="R69" s="56"/>
    </row>
    <row r="70" spans="2:18" ht="23.25" customHeight="1" x14ac:dyDescent="0.25">
      <c r="B70" s="19" t="s">
        <v>345</v>
      </c>
      <c r="C70" s="21" t="s">
        <v>346</v>
      </c>
      <c r="D70" s="51" t="s">
        <v>347</v>
      </c>
      <c r="E70" s="52" t="str">
        <f t="shared" si="7"/>
        <v>A</v>
      </c>
      <c r="F70" s="56" t="s">
        <v>210</v>
      </c>
      <c r="G70" s="69" t="s">
        <v>348</v>
      </c>
      <c r="H70" s="51" t="str">
        <f t="shared" si="9"/>
        <v>على قنديل (بلوك) - وليد شعبان</v>
      </c>
      <c r="I70" s="52" t="str">
        <f t="shared" si="10"/>
        <v>Ali Kandel</v>
      </c>
      <c r="J70" s="53">
        <v>46063</v>
      </c>
      <c r="K70" s="52" t="s">
        <v>212</v>
      </c>
      <c r="L70" s="52"/>
      <c r="M70" s="52"/>
      <c r="N70" s="52"/>
      <c r="O70" s="52"/>
      <c r="P70" s="52"/>
      <c r="Q70" s="52"/>
      <c r="R70" s="56"/>
    </row>
    <row r="71" spans="2:18" ht="23.25" customHeight="1" x14ac:dyDescent="0.25">
      <c r="B71" s="19" t="s">
        <v>31</v>
      </c>
      <c r="C71" s="21" t="s">
        <v>32</v>
      </c>
      <c r="D71" s="51" t="s">
        <v>349</v>
      </c>
      <c r="E71" s="52" t="str">
        <f t="shared" si="7"/>
        <v>W</v>
      </c>
      <c r="F71" s="56" t="s">
        <v>210</v>
      </c>
      <c r="G71" s="69" t="s">
        <v>350</v>
      </c>
      <c r="H71" s="51" t="str">
        <f t="shared" si="9"/>
        <v>مؤسسه ورود حسن الكحيليني</v>
      </c>
      <c r="I71" s="52" t="str">
        <f t="shared" si="10"/>
        <v>Worod Hassan Al-Kahilini</v>
      </c>
      <c r="J71" s="52"/>
      <c r="K71" s="52" t="s">
        <v>212</v>
      </c>
      <c r="L71" s="52" t="s">
        <v>35</v>
      </c>
      <c r="M71" s="52"/>
      <c r="N71" s="52"/>
      <c r="O71" s="52"/>
      <c r="P71" s="52"/>
      <c r="Q71" s="52"/>
      <c r="R71" s="56"/>
    </row>
    <row r="72" spans="2:18" ht="23.25" customHeight="1" x14ac:dyDescent="0.25">
      <c r="B72" s="19" t="s">
        <v>351</v>
      </c>
      <c r="C72" s="21" t="s">
        <v>327</v>
      </c>
      <c r="D72" s="51" t="s">
        <v>352</v>
      </c>
      <c r="E72" s="52" t="str">
        <f t="shared" si="7"/>
        <v>K</v>
      </c>
      <c r="F72" s="56" t="s">
        <v>296</v>
      </c>
      <c r="G72" s="69" t="s">
        <v>353</v>
      </c>
      <c r="H72" s="51" t="str">
        <f t="shared" si="9"/>
        <v>كاشير خان  (مليس)</v>
      </c>
      <c r="I72" s="52" t="str">
        <f t="shared" si="10"/>
        <v>Kasher Khan</v>
      </c>
      <c r="J72" s="52"/>
      <c r="K72" s="52" t="s">
        <v>298</v>
      </c>
      <c r="L72" s="52"/>
      <c r="M72" s="52"/>
      <c r="N72" s="52"/>
      <c r="O72" s="52"/>
      <c r="P72" s="52"/>
      <c r="Q72" s="52"/>
      <c r="R72" s="56"/>
    </row>
    <row r="73" spans="2:18" ht="23.25" customHeight="1" x14ac:dyDescent="0.25">
      <c r="B73" s="19" t="s">
        <v>354</v>
      </c>
      <c r="C73" s="21" t="s">
        <v>355</v>
      </c>
      <c r="D73" s="51" t="s">
        <v>356</v>
      </c>
      <c r="E73" s="52" t="str">
        <f t="shared" si="7"/>
        <v>R</v>
      </c>
      <c r="F73" s="56" t="s">
        <v>296</v>
      </c>
      <c r="G73" s="69" t="s">
        <v>357</v>
      </c>
      <c r="H73" s="51" t="str">
        <f t="shared" si="9"/>
        <v>رفعت (مليس)</v>
      </c>
      <c r="I73" s="52" t="str">
        <f t="shared" si="10"/>
        <v xml:space="preserve">Refat </v>
      </c>
      <c r="J73" s="52"/>
      <c r="K73" s="52" t="s">
        <v>298</v>
      </c>
      <c r="L73" s="52"/>
      <c r="M73" s="52"/>
      <c r="N73" s="52"/>
      <c r="O73" s="52"/>
      <c r="P73" s="52"/>
      <c r="Q73" s="52"/>
      <c r="R73" s="56"/>
    </row>
    <row r="74" spans="2:18" ht="23.25" customHeight="1" x14ac:dyDescent="0.25">
      <c r="B74" s="19" t="s">
        <v>358</v>
      </c>
      <c r="C74" s="21" t="s">
        <v>359</v>
      </c>
      <c r="D74" s="51" t="s">
        <v>360</v>
      </c>
      <c r="E74" s="52" t="str">
        <f t="shared" si="7"/>
        <v>Y</v>
      </c>
      <c r="F74" s="56" t="s">
        <v>361</v>
      </c>
      <c r="G74" s="69" t="s">
        <v>362</v>
      </c>
      <c r="H74" s="51" t="str">
        <f t="shared" si="9"/>
        <v>ياسر (دهان)</v>
      </c>
      <c r="I74" s="52" t="str">
        <f t="shared" si="10"/>
        <v>Yasser</v>
      </c>
      <c r="J74" s="52"/>
      <c r="K74" s="52" t="s">
        <v>363</v>
      </c>
      <c r="L74" s="52"/>
      <c r="M74" s="52"/>
      <c r="N74" s="52"/>
      <c r="O74" s="52"/>
      <c r="P74" s="52"/>
      <c r="Q74" s="52"/>
      <c r="R74" s="56"/>
    </row>
    <row r="75" spans="2:18" ht="23.25" customHeight="1" x14ac:dyDescent="0.25">
      <c r="B75" s="43" t="s">
        <v>364</v>
      </c>
      <c r="C75" s="44" t="s">
        <v>365</v>
      </c>
      <c r="D75" s="51" t="s">
        <v>366</v>
      </c>
      <c r="E75" s="52" t="str">
        <f t="shared" si="7"/>
        <v>A</v>
      </c>
      <c r="F75" s="56" t="s">
        <v>138</v>
      </c>
      <c r="G75" s="69" t="s">
        <v>367</v>
      </c>
      <c r="H75" s="51" t="str">
        <f t="shared" si="9"/>
        <v>أكبر ( سباك)(لاغى)</v>
      </c>
      <c r="I75" s="52" t="str">
        <f t="shared" si="10"/>
        <v>Akbar</v>
      </c>
      <c r="J75" s="52"/>
      <c r="K75" s="52" t="s">
        <v>368</v>
      </c>
      <c r="L75" s="52"/>
      <c r="M75" s="52">
        <v>72</v>
      </c>
      <c r="N75" s="52"/>
      <c r="O75" s="52" t="s">
        <v>206</v>
      </c>
      <c r="P75" s="52" t="s">
        <v>369</v>
      </c>
      <c r="Q75" s="52" t="s">
        <v>370</v>
      </c>
      <c r="R75" s="56" t="s">
        <v>371</v>
      </c>
    </row>
    <row r="76" spans="2:18" ht="23.25" customHeight="1" x14ac:dyDescent="0.25">
      <c r="B76" s="19" t="s">
        <v>372</v>
      </c>
      <c r="C76" s="21" t="s">
        <v>373</v>
      </c>
      <c r="D76" s="51" t="s">
        <v>374</v>
      </c>
      <c r="E76" s="52" t="str">
        <f>LEFT(C76,1)</f>
        <v>T</v>
      </c>
      <c r="F76" s="56" t="s">
        <v>138</v>
      </c>
      <c r="G76" s="69" t="s">
        <v>375</v>
      </c>
      <c r="H76" s="51" t="str">
        <f t="shared" si="9"/>
        <v>تبيان (MEP)</v>
      </c>
      <c r="I76" s="52" t="str">
        <f t="shared" si="10"/>
        <v>Tebian</v>
      </c>
      <c r="J76" s="53">
        <v>46068</v>
      </c>
      <c r="K76" s="52" t="s">
        <v>140</v>
      </c>
      <c r="L76" s="52"/>
      <c r="M76" s="52"/>
      <c r="N76" s="52"/>
      <c r="O76" s="52"/>
      <c r="P76" s="52"/>
      <c r="Q76" s="52"/>
      <c r="R76" s="56"/>
    </row>
    <row r="77" spans="2:18" ht="23.25" customHeight="1" x14ac:dyDescent="0.25">
      <c r="B77" s="19" t="s">
        <v>376</v>
      </c>
      <c r="C77" s="21" t="s">
        <v>377</v>
      </c>
      <c r="D77" s="51" t="s">
        <v>378</v>
      </c>
      <c r="E77" s="52" t="str">
        <f t="shared" ref="E77:E103" si="11">LEFT(C77,1)</f>
        <v>M</v>
      </c>
      <c r="F77" s="56" t="s">
        <v>138</v>
      </c>
      <c r="G77" s="69" t="str">
        <f t="shared" ref="G77:G131" si="12">IF(E77="",0,_xlfn.CONCAT(E77,D77))</f>
        <v>M75-MEP</v>
      </c>
      <c r="H77" s="51" t="str">
        <f t="shared" si="9"/>
        <v>مزمل (MEP)</v>
      </c>
      <c r="I77" s="52" t="str">
        <f t="shared" si="10"/>
        <v>Muzamil</v>
      </c>
      <c r="J77" s="53">
        <v>46069</v>
      </c>
      <c r="K77" s="52" t="s">
        <v>140</v>
      </c>
      <c r="L77" s="52"/>
      <c r="M77" s="52"/>
      <c r="N77" s="52"/>
      <c r="O77" s="52"/>
      <c r="P77" s="52"/>
      <c r="Q77" s="52"/>
      <c r="R77" s="56"/>
    </row>
    <row r="78" spans="2:18" ht="23.25" customHeight="1" x14ac:dyDescent="0.25">
      <c r="B78" s="19" t="s">
        <v>379</v>
      </c>
      <c r="C78" s="21" t="s">
        <v>380</v>
      </c>
      <c r="D78" s="51" t="s">
        <v>381</v>
      </c>
      <c r="E78" s="52" t="str">
        <f t="shared" si="11"/>
        <v>M</v>
      </c>
      <c r="F78" s="56" t="s">
        <v>296</v>
      </c>
      <c r="G78" s="69" t="str">
        <f t="shared" si="12"/>
        <v>M76-P</v>
      </c>
      <c r="H78" s="51" t="str">
        <f t="shared" si="9"/>
        <v>محمد يونس (مليس)</v>
      </c>
      <c r="I78" s="52" t="str">
        <f t="shared" si="10"/>
        <v>Mohamed Yonis</v>
      </c>
      <c r="J78" s="53">
        <v>46083</v>
      </c>
      <c r="K78" s="52" t="s">
        <v>298</v>
      </c>
      <c r="L78" s="52"/>
      <c r="M78" s="52">
        <v>72</v>
      </c>
      <c r="N78" s="52"/>
      <c r="O78" s="55" t="s">
        <v>37</v>
      </c>
      <c r="P78" s="52"/>
      <c r="Q78" s="52"/>
      <c r="R78" s="56"/>
    </row>
    <row r="79" spans="2:18" ht="23.25" customHeight="1" x14ac:dyDescent="0.25">
      <c r="B79" s="19" t="s">
        <v>382</v>
      </c>
      <c r="C79" s="21" t="s">
        <v>383</v>
      </c>
      <c r="D79" s="51">
        <v>77</v>
      </c>
      <c r="E79" s="52" t="str">
        <f t="shared" si="11"/>
        <v>E</v>
      </c>
      <c r="F79" s="56" t="s">
        <v>314</v>
      </c>
      <c r="G79" s="69" t="str">
        <f t="shared" si="12"/>
        <v>E77</v>
      </c>
      <c r="H79" s="51" t="str">
        <f t="shared" si="9"/>
        <v>إيمان راشد للمقاولات ( تشطيبات)</v>
      </c>
      <c r="I79" s="52" t="str">
        <f t="shared" si="10"/>
        <v xml:space="preserve">Eman Rashid </v>
      </c>
      <c r="J79" s="53">
        <v>46089</v>
      </c>
      <c r="K79" s="52" t="s">
        <v>384</v>
      </c>
      <c r="L79" s="52"/>
      <c r="M79" s="52">
        <v>72</v>
      </c>
      <c r="N79" s="52"/>
      <c r="O79" s="55" t="s">
        <v>37</v>
      </c>
      <c r="P79" s="52"/>
      <c r="Q79" s="52"/>
      <c r="R79" s="56"/>
    </row>
    <row r="80" spans="2:18" ht="23.25" customHeight="1" x14ac:dyDescent="0.25">
      <c r="B80" s="19" t="s">
        <v>385</v>
      </c>
      <c r="C80" s="21" t="s">
        <v>386</v>
      </c>
      <c r="D80" s="51">
        <v>78</v>
      </c>
      <c r="E80" s="52" t="str">
        <f t="shared" si="11"/>
        <v>T</v>
      </c>
      <c r="F80" s="56" t="s">
        <v>19</v>
      </c>
      <c r="G80" s="69" t="str">
        <f t="shared" si="12"/>
        <v>T78</v>
      </c>
      <c r="H80" s="51" t="str">
        <f t="shared" si="9"/>
        <v>التراث الشرقى</v>
      </c>
      <c r="I80" s="52" t="str">
        <f t="shared" si="10"/>
        <v>Turath El Sharki</v>
      </c>
      <c r="J80" s="52"/>
      <c r="K80" s="52"/>
      <c r="L80" s="52"/>
      <c r="M80" s="52"/>
      <c r="N80" s="52"/>
      <c r="O80" s="52"/>
      <c r="P80" s="52"/>
      <c r="Q80" s="52"/>
      <c r="R80" s="56"/>
    </row>
    <row r="81" spans="2:18" ht="23.25" customHeight="1" x14ac:dyDescent="0.25">
      <c r="B81" s="19" t="s">
        <v>387</v>
      </c>
      <c r="C81" s="21" t="s">
        <v>388</v>
      </c>
      <c r="D81" s="51" t="s">
        <v>389</v>
      </c>
      <c r="E81" s="52" t="str">
        <f t="shared" si="11"/>
        <v>E</v>
      </c>
      <c r="F81" s="56" t="s">
        <v>138</v>
      </c>
      <c r="G81" s="69" t="str">
        <f t="shared" si="12"/>
        <v>E79-MEP</v>
      </c>
      <c r="H81" s="51" t="str">
        <f t="shared" si="9"/>
        <v>نسر مصر (MEP)</v>
      </c>
      <c r="I81" s="52" t="str">
        <f t="shared" si="10"/>
        <v>Egypt’s Eagle</v>
      </c>
      <c r="J81" s="53">
        <v>46089</v>
      </c>
      <c r="K81" s="52"/>
      <c r="L81" s="52"/>
      <c r="M81" s="52"/>
      <c r="N81" s="52"/>
      <c r="O81" s="52"/>
      <c r="P81" s="52"/>
      <c r="Q81" s="52"/>
      <c r="R81" s="56"/>
    </row>
    <row r="82" spans="2:18" ht="23.25" customHeight="1" x14ac:dyDescent="0.25">
      <c r="D82" s="51">
        <v>80</v>
      </c>
      <c r="E82" s="52" t="str">
        <f t="shared" si="11"/>
        <v/>
      </c>
      <c r="F82" s="56"/>
      <c r="G82" s="69">
        <f t="shared" si="12"/>
        <v>0</v>
      </c>
      <c r="H82" s="51">
        <f t="shared" si="9"/>
        <v>0</v>
      </c>
      <c r="I82" s="52">
        <f t="shared" si="10"/>
        <v>0</v>
      </c>
      <c r="J82" s="52"/>
      <c r="K82" s="52"/>
      <c r="L82" s="52"/>
      <c r="M82" s="52"/>
      <c r="N82" s="52"/>
      <c r="O82" s="52"/>
      <c r="P82" s="52"/>
      <c r="Q82" s="52"/>
      <c r="R82" s="56"/>
    </row>
    <row r="83" spans="2:18" ht="23.25" customHeight="1" x14ac:dyDescent="0.25">
      <c r="D83" s="51">
        <v>81</v>
      </c>
      <c r="E83" s="52" t="str">
        <f t="shared" si="11"/>
        <v/>
      </c>
      <c r="F83" s="56"/>
      <c r="G83" s="69">
        <f t="shared" si="12"/>
        <v>0</v>
      </c>
      <c r="H83" s="51">
        <f t="shared" si="9"/>
        <v>0</v>
      </c>
      <c r="I83" s="52">
        <f t="shared" si="10"/>
        <v>0</v>
      </c>
      <c r="J83" s="52"/>
      <c r="K83" s="52"/>
      <c r="L83" s="52"/>
      <c r="M83" s="52"/>
      <c r="N83" s="52"/>
      <c r="O83" s="52"/>
      <c r="P83" s="52"/>
      <c r="Q83" s="52"/>
      <c r="R83" s="56"/>
    </row>
    <row r="84" spans="2:18" ht="23.25" customHeight="1" x14ac:dyDescent="0.25">
      <c r="D84" s="51">
        <v>82</v>
      </c>
      <c r="E84" s="52" t="str">
        <f t="shared" si="11"/>
        <v/>
      </c>
      <c r="F84" s="56"/>
      <c r="G84" s="69">
        <f t="shared" si="12"/>
        <v>0</v>
      </c>
      <c r="H84" s="51">
        <f t="shared" si="9"/>
        <v>0</v>
      </c>
      <c r="I84" s="52">
        <f t="shared" si="10"/>
        <v>0</v>
      </c>
      <c r="J84" s="52"/>
      <c r="K84" s="52"/>
      <c r="L84" s="52"/>
      <c r="M84" s="52"/>
      <c r="N84" s="52"/>
      <c r="O84" s="52"/>
      <c r="P84" s="52"/>
      <c r="Q84" s="52"/>
      <c r="R84" s="56"/>
    </row>
    <row r="85" spans="2:18" ht="23.25" customHeight="1" x14ac:dyDescent="0.25">
      <c r="D85" s="51">
        <v>83</v>
      </c>
      <c r="E85" s="52" t="str">
        <f t="shared" si="11"/>
        <v/>
      </c>
      <c r="F85" s="56"/>
      <c r="G85" s="69">
        <f t="shared" si="12"/>
        <v>0</v>
      </c>
      <c r="H85" s="51">
        <f t="shared" si="9"/>
        <v>0</v>
      </c>
      <c r="I85" s="52">
        <f t="shared" si="10"/>
        <v>0</v>
      </c>
      <c r="J85" s="52"/>
      <c r="K85" s="52"/>
      <c r="L85" s="52"/>
      <c r="M85" s="52"/>
      <c r="N85" s="52"/>
      <c r="O85" s="52"/>
      <c r="P85" s="52"/>
      <c r="Q85" s="52"/>
      <c r="R85" s="56"/>
    </row>
    <row r="86" spans="2:18" ht="23.25" customHeight="1" x14ac:dyDescent="0.25">
      <c r="D86" s="51">
        <v>84</v>
      </c>
      <c r="E86" s="52" t="str">
        <f t="shared" si="11"/>
        <v/>
      </c>
      <c r="F86" s="56"/>
      <c r="G86" s="69">
        <f t="shared" si="12"/>
        <v>0</v>
      </c>
      <c r="H86" s="51">
        <f t="shared" si="9"/>
        <v>0</v>
      </c>
      <c r="I86" s="52">
        <f t="shared" si="10"/>
        <v>0</v>
      </c>
      <c r="J86" s="52"/>
      <c r="K86" s="52"/>
      <c r="L86" s="52"/>
      <c r="M86" s="52"/>
      <c r="N86" s="52"/>
      <c r="O86" s="52"/>
      <c r="P86" s="52"/>
      <c r="Q86" s="52"/>
      <c r="R86" s="56"/>
    </row>
    <row r="87" spans="2:18" ht="23.25" customHeight="1" x14ac:dyDescent="0.25">
      <c r="D87" s="51">
        <v>85</v>
      </c>
      <c r="E87" s="52" t="str">
        <f t="shared" si="11"/>
        <v/>
      </c>
      <c r="F87" s="56"/>
      <c r="G87" s="69">
        <f t="shared" si="12"/>
        <v>0</v>
      </c>
      <c r="H87" s="51">
        <f t="shared" si="9"/>
        <v>0</v>
      </c>
      <c r="I87" s="52">
        <f t="shared" si="10"/>
        <v>0</v>
      </c>
      <c r="J87" s="52"/>
      <c r="K87" s="52"/>
      <c r="L87" s="52"/>
      <c r="M87" s="52"/>
      <c r="N87" s="52"/>
      <c r="O87" s="52"/>
      <c r="P87" s="52"/>
      <c r="Q87" s="52"/>
      <c r="R87" s="56"/>
    </row>
    <row r="88" spans="2:18" ht="23.25" customHeight="1" x14ac:dyDescent="0.25">
      <c r="D88" s="51">
        <v>86</v>
      </c>
      <c r="E88" s="52" t="str">
        <f t="shared" si="11"/>
        <v/>
      </c>
      <c r="F88" s="56"/>
      <c r="G88" s="69">
        <f t="shared" si="12"/>
        <v>0</v>
      </c>
      <c r="H88" s="51">
        <f t="shared" si="9"/>
        <v>0</v>
      </c>
      <c r="I88" s="52">
        <f t="shared" si="10"/>
        <v>0</v>
      </c>
      <c r="J88" s="52"/>
      <c r="K88" s="52"/>
      <c r="L88" s="52"/>
      <c r="M88" s="52"/>
      <c r="N88" s="52"/>
      <c r="O88" s="52"/>
      <c r="P88" s="52"/>
      <c r="Q88" s="52"/>
      <c r="R88" s="56"/>
    </row>
    <row r="89" spans="2:18" ht="23.25" customHeight="1" x14ac:dyDescent="0.25">
      <c r="D89" s="51">
        <v>87</v>
      </c>
      <c r="E89" s="52" t="str">
        <f t="shared" si="11"/>
        <v/>
      </c>
      <c r="F89" s="56"/>
      <c r="G89" s="69">
        <f t="shared" si="12"/>
        <v>0</v>
      </c>
      <c r="H89" s="51">
        <f t="shared" si="9"/>
        <v>0</v>
      </c>
      <c r="I89" s="52">
        <f t="shared" si="10"/>
        <v>0</v>
      </c>
      <c r="J89" s="52"/>
      <c r="K89" s="52"/>
      <c r="L89" s="52"/>
      <c r="M89" s="52"/>
      <c r="N89" s="52"/>
      <c r="O89" s="52"/>
      <c r="P89" s="52"/>
      <c r="Q89" s="52"/>
      <c r="R89" s="56"/>
    </row>
    <row r="90" spans="2:18" ht="23.25" customHeight="1" x14ac:dyDescent="0.25">
      <c r="D90" s="51">
        <v>88</v>
      </c>
      <c r="E90" s="52" t="str">
        <f t="shared" si="11"/>
        <v/>
      </c>
      <c r="F90" s="56"/>
      <c r="G90" s="69">
        <f t="shared" si="12"/>
        <v>0</v>
      </c>
      <c r="H90" s="51">
        <f t="shared" si="9"/>
        <v>0</v>
      </c>
      <c r="I90" s="52">
        <f t="shared" si="10"/>
        <v>0</v>
      </c>
      <c r="J90" s="52"/>
      <c r="K90" s="52"/>
      <c r="L90" s="52"/>
      <c r="M90" s="52"/>
      <c r="N90" s="52"/>
      <c r="O90" s="52"/>
      <c r="P90" s="52"/>
      <c r="Q90" s="52"/>
      <c r="R90" s="56"/>
    </row>
    <row r="91" spans="2:18" ht="23.25" customHeight="1" x14ac:dyDescent="0.25">
      <c r="D91" s="51">
        <v>89</v>
      </c>
      <c r="E91" s="52" t="str">
        <f t="shared" si="11"/>
        <v/>
      </c>
      <c r="F91" s="56"/>
      <c r="G91" s="69">
        <f t="shared" si="12"/>
        <v>0</v>
      </c>
      <c r="H91" s="51">
        <f t="shared" si="9"/>
        <v>0</v>
      </c>
      <c r="I91" s="52">
        <f t="shared" si="10"/>
        <v>0</v>
      </c>
      <c r="J91" s="52"/>
      <c r="K91" s="52"/>
      <c r="L91" s="52"/>
      <c r="M91" s="52"/>
      <c r="N91" s="52"/>
      <c r="O91" s="52"/>
      <c r="P91" s="52"/>
      <c r="Q91" s="52"/>
      <c r="R91" s="56"/>
    </row>
    <row r="92" spans="2:18" ht="23.25" customHeight="1" x14ac:dyDescent="0.25">
      <c r="D92" s="51">
        <v>90</v>
      </c>
      <c r="E92" s="52" t="str">
        <f t="shared" si="11"/>
        <v/>
      </c>
      <c r="F92" s="56"/>
      <c r="G92" s="69">
        <f t="shared" si="12"/>
        <v>0</v>
      </c>
      <c r="H92" s="51">
        <f t="shared" si="9"/>
        <v>0</v>
      </c>
      <c r="I92" s="52">
        <f t="shared" si="10"/>
        <v>0</v>
      </c>
      <c r="J92" s="52"/>
      <c r="K92" s="52"/>
      <c r="L92" s="52"/>
      <c r="M92" s="52"/>
      <c r="N92" s="52"/>
      <c r="O92" s="52"/>
      <c r="P92" s="52"/>
      <c r="Q92" s="52"/>
      <c r="R92" s="56"/>
    </row>
    <row r="93" spans="2:18" ht="23.25" customHeight="1" x14ac:dyDescent="0.25">
      <c r="D93" s="51">
        <v>91</v>
      </c>
      <c r="E93" s="52" t="str">
        <f t="shared" si="11"/>
        <v/>
      </c>
      <c r="F93" s="56"/>
      <c r="G93" s="69">
        <f t="shared" si="12"/>
        <v>0</v>
      </c>
      <c r="H93" s="51">
        <f t="shared" si="9"/>
        <v>0</v>
      </c>
      <c r="I93" s="52">
        <f t="shared" si="10"/>
        <v>0</v>
      </c>
      <c r="J93" s="52"/>
      <c r="K93" s="52"/>
      <c r="L93" s="52"/>
      <c r="M93" s="52"/>
      <c r="N93" s="52"/>
      <c r="O93" s="52"/>
      <c r="P93" s="52"/>
      <c r="Q93" s="52"/>
      <c r="R93" s="56"/>
    </row>
    <row r="94" spans="2:18" ht="23.25" customHeight="1" x14ac:dyDescent="0.25">
      <c r="D94" s="51">
        <v>92</v>
      </c>
      <c r="E94" s="52" t="str">
        <f t="shared" si="11"/>
        <v/>
      </c>
      <c r="F94" s="56"/>
      <c r="G94" s="69">
        <f t="shared" si="12"/>
        <v>0</v>
      </c>
      <c r="H94" s="51">
        <f t="shared" si="9"/>
        <v>0</v>
      </c>
      <c r="I94" s="52">
        <f t="shared" si="10"/>
        <v>0</v>
      </c>
      <c r="J94" s="52"/>
      <c r="K94" s="52"/>
      <c r="L94" s="52"/>
      <c r="M94" s="52"/>
      <c r="N94" s="52"/>
      <c r="O94" s="52"/>
      <c r="P94" s="52"/>
      <c r="Q94" s="52"/>
      <c r="R94" s="56"/>
    </row>
    <row r="95" spans="2:18" ht="23.25" customHeight="1" x14ac:dyDescent="0.25">
      <c r="D95" s="51">
        <v>93</v>
      </c>
      <c r="E95" s="52" t="str">
        <f t="shared" si="11"/>
        <v/>
      </c>
      <c r="F95" s="56"/>
      <c r="G95" s="69">
        <f t="shared" si="12"/>
        <v>0</v>
      </c>
      <c r="H95" s="51">
        <f t="shared" si="9"/>
        <v>0</v>
      </c>
      <c r="I95" s="52">
        <f t="shared" si="10"/>
        <v>0</v>
      </c>
      <c r="J95" s="52"/>
      <c r="K95" s="52"/>
      <c r="L95" s="52"/>
      <c r="M95" s="52"/>
      <c r="N95" s="52"/>
      <c r="O95" s="52"/>
      <c r="P95" s="52"/>
      <c r="Q95" s="52"/>
      <c r="R95" s="56"/>
    </row>
    <row r="96" spans="2:18" ht="23.25" customHeight="1" x14ac:dyDescent="0.25">
      <c r="D96" s="51">
        <v>94</v>
      </c>
      <c r="E96" s="52" t="str">
        <f t="shared" si="11"/>
        <v/>
      </c>
      <c r="F96" s="56"/>
      <c r="G96" s="69">
        <f t="shared" si="12"/>
        <v>0</v>
      </c>
      <c r="H96" s="51">
        <f t="shared" si="9"/>
        <v>0</v>
      </c>
      <c r="I96" s="52">
        <f t="shared" si="10"/>
        <v>0</v>
      </c>
      <c r="J96" s="52"/>
      <c r="K96" s="52"/>
      <c r="L96" s="52"/>
      <c r="M96" s="52"/>
      <c r="N96" s="52"/>
      <c r="O96" s="52"/>
      <c r="P96" s="52"/>
      <c r="Q96" s="52"/>
      <c r="R96" s="56"/>
    </row>
    <row r="97" spans="4:18" ht="23.25" customHeight="1" x14ac:dyDescent="0.25">
      <c r="D97" s="51">
        <v>95</v>
      </c>
      <c r="E97" s="52" t="str">
        <f t="shared" si="11"/>
        <v/>
      </c>
      <c r="F97" s="56"/>
      <c r="G97" s="69">
        <f t="shared" si="12"/>
        <v>0</v>
      </c>
      <c r="H97" s="51">
        <f t="shared" si="9"/>
        <v>0</v>
      </c>
      <c r="I97" s="52">
        <f t="shared" si="10"/>
        <v>0</v>
      </c>
      <c r="J97" s="52"/>
      <c r="K97" s="52"/>
      <c r="L97" s="52"/>
      <c r="M97" s="52"/>
      <c r="N97" s="52"/>
      <c r="O97" s="52"/>
      <c r="P97" s="52"/>
      <c r="Q97" s="52"/>
      <c r="R97" s="56"/>
    </row>
    <row r="98" spans="4:18" ht="23.25" customHeight="1" x14ac:dyDescent="0.25">
      <c r="D98" s="51">
        <v>96</v>
      </c>
      <c r="E98" s="52" t="str">
        <f t="shared" si="11"/>
        <v/>
      </c>
      <c r="F98" s="56"/>
      <c r="G98" s="69">
        <f t="shared" si="12"/>
        <v>0</v>
      </c>
      <c r="H98" s="51">
        <f t="shared" si="9"/>
        <v>0</v>
      </c>
      <c r="I98" s="52">
        <f t="shared" si="10"/>
        <v>0</v>
      </c>
      <c r="J98" s="52"/>
      <c r="K98" s="52"/>
      <c r="L98" s="52"/>
      <c r="M98" s="52"/>
      <c r="N98" s="52"/>
      <c r="O98" s="52"/>
      <c r="P98" s="52"/>
      <c r="Q98" s="52"/>
      <c r="R98" s="56"/>
    </row>
    <row r="99" spans="4:18" ht="23.25" customHeight="1" x14ac:dyDescent="0.25">
      <c r="D99" s="51">
        <v>97</v>
      </c>
      <c r="E99" s="52" t="str">
        <f t="shared" si="11"/>
        <v/>
      </c>
      <c r="F99" s="56"/>
      <c r="G99" s="69">
        <f t="shared" si="12"/>
        <v>0</v>
      </c>
      <c r="H99" s="51">
        <f t="shared" si="9"/>
        <v>0</v>
      </c>
      <c r="I99" s="52">
        <f t="shared" si="10"/>
        <v>0</v>
      </c>
      <c r="J99" s="52"/>
      <c r="K99" s="52"/>
      <c r="L99" s="52"/>
      <c r="M99" s="52"/>
      <c r="N99" s="52"/>
      <c r="O99" s="52"/>
      <c r="P99" s="52"/>
      <c r="Q99" s="52"/>
      <c r="R99" s="56"/>
    </row>
    <row r="100" spans="4:18" ht="23.25" customHeight="1" x14ac:dyDescent="0.25">
      <c r="D100" s="51">
        <v>98</v>
      </c>
      <c r="E100" s="52" t="str">
        <f t="shared" si="11"/>
        <v/>
      </c>
      <c r="F100" s="56"/>
      <c r="G100" s="69">
        <f t="shared" si="12"/>
        <v>0</v>
      </c>
      <c r="H100" s="51">
        <f t="shared" si="9"/>
        <v>0</v>
      </c>
      <c r="I100" s="52">
        <f t="shared" si="10"/>
        <v>0</v>
      </c>
      <c r="J100" s="52"/>
      <c r="K100" s="52"/>
      <c r="L100" s="52"/>
      <c r="M100" s="52"/>
      <c r="N100" s="52"/>
      <c r="O100" s="52"/>
      <c r="P100" s="52"/>
      <c r="Q100" s="52"/>
      <c r="R100" s="56"/>
    </row>
    <row r="101" spans="4:18" ht="23.25" customHeight="1" x14ac:dyDescent="0.25">
      <c r="D101" s="51">
        <v>99</v>
      </c>
      <c r="E101" s="52" t="str">
        <f t="shared" si="11"/>
        <v/>
      </c>
      <c r="F101" s="56"/>
      <c r="G101" s="69">
        <f t="shared" si="12"/>
        <v>0</v>
      </c>
      <c r="H101" s="51">
        <f t="shared" si="9"/>
        <v>0</v>
      </c>
      <c r="I101" s="52">
        <f t="shared" si="10"/>
        <v>0</v>
      </c>
      <c r="J101" s="52"/>
      <c r="K101" s="52"/>
      <c r="L101" s="52"/>
      <c r="M101" s="52"/>
      <c r="N101" s="52"/>
      <c r="O101" s="52"/>
      <c r="P101" s="52"/>
      <c r="Q101" s="52"/>
      <c r="R101" s="56"/>
    </row>
    <row r="102" spans="4:18" ht="23.25" customHeight="1" x14ac:dyDescent="0.25">
      <c r="D102" s="51">
        <v>100</v>
      </c>
      <c r="E102" s="52" t="str">
        <f t="shared" si="11"/>
        <v/>
      </c>
      <c r="F102" s="56"/>
      <c r="G102" s="69">
        <f t="shared" si="12"/>
        <v>0</v>
      </c>
      <c r="H102" s="51">
        <f t="shared" si="9"/>
        <v>0</v>
      </c>
      <c r="I102" s="52">
        <f t="shared" si="10"/>
        <v>0</v>
      </c>
      <c r="J102" s="52"/>
      <c r="K102" s="52"/>
      <c r="L102" s="52"/>
      <c r="M102" s="52"/>
      <c r="N102" s="52"/>
      <c r="O102" s="52"/>
      <c r="P102" s="52"/>
      <c r="Q102" s="52"/>
      <c r="R102" s="56"/>
    </row>
    <row r="103" spans="4:18" ht="23.25" customHeight="1" x14ac:dyDescent="0.25">
      <c r="D103" s="51">
        <v>101</v>
      </c>
      <c r="E103" s="52" t="str">
        <f t="shared" si="11"/>
        <v/>
      </c>
      <c r="F103" s="56"/>
      <c r="G103" s="69">
        <f t="shared" si="12"/>
        <v>0</v>
      </c>
      <c r="H103" s="51">
        <f t="shared" si="9"/>
        <v>0</v>
      </c>
      <c r="I103" s="52">
        <f t="shared" si="10"/>
        <v>0</v>
      </c>
      <c r="J103" s="52"/>
      <c r="K103" s="52"/>
      <c r="L103" s="52"/>
      <c r="M103" s="52"/>
      <c r="N103" s="52"/>
      <c r="O103" s="52"/>
      <c r="P103" s="52"/>
      <c r="Q103" s="52"/>
      <c r="R103" s="56"/>
    </row>
    <row r="104" spans="4:18" ht="23.25" customHeight="1" x14ac:dyDescent="0.25">
      <c r="D104" s="51">
        <v>102</v>
      </c>
      <c r="E104" s="52" t="str">
        <f t="shared" ref="E104:E142" si="13">LEFT(C104,1)</f>
        <v/>
      </c>
      <c r="F104" s="56"/>
      <c r="G104" s="69">
        <f t="shared" si="12"/>
        <v>0</v>
      </c>
      <c r="H104" s="51">
        <f t="shared" si="9"/>
        <v>0</v>
      </c>
      <c r="I104" s="52">
        <f t="shared" si="10"/>
        <v>0</v>
      </c>
      <c r="J104" s="52"/>
      <c r="K104" s="52"/>
      <c r="L104" s="52"/>
      <c r="M104" s="52"/>
      <c r="N104" s="52"/>
      <c r="O104" s="52"/>
      <c r="P104" s="52"/>
      <c r="Q104" s="52"/>
      <c r="R104" s="56"/>
    </row>
    <row r="105" spans="4:18" ht="23.25" customHeight="1" x14ac:dyDescent="0.25">
      <c r="D105" s="51">
        <v>103</v>
      </c>
      <c r="E105" s="52" t="str">
        <f t="shared" si="13"/>
        <v/>
      </c>
      <c r="F105" s="56"/>
      <c r="G105" s="69">
        <f t="shared" si="12"/>
        <v>0</v>
      </c>
      <c r="H105" s="51">
        <f t="shared" si="9"/>
        <v>0</v>
      </c>
      <c r="I105" s="52">
        <f t="shared" si="10"/>
        <v>0</v>
      </c>
      <c r="J105" s="52"/>
      <c r="K105" s="52"/>
      <c r="L105" s="52"/>
      <c r="M105" s="52"/>
      <c r="N105" s="52"/>
      <c r="O105" s="52"/>
      <c r="P105" s="52"/>
      <c r="Q105" s="52"/>
      <c r="R105" s="56"/>
    </row>
    <row r="106" spans="4:18" ht="23.25" customHeight="1" x14ac:dyDescent="0.25">
      <c r="D106" s="51">
        <v>104</v>
      </c>
      <c r="E106" s="52" t="str">
        <f t="shared" si="13"/>
        <v/>
      </c>
      <c r="F106" s="56"/>
      <c r="G106" s="69">
        <f t="shared" si="12"/>
        <v>0</v>
      </c>
      <c r="H106" s="51">
        <f t="shared" si="9"/>
        <v>0</v>
      </c>
      <c r="I106" s="52">
        <f t="shared" si="10"/>
        <v>0</v>
      </c>
      <c r="J106" s="52"/>
      <c r="K106" s="52"/>
      <c r="L106" s="52"/>
      <c r="M106" s="52"/>
      <c r="N106" s="52"/>
      <c r="O106" s="52"/>
      <c r="P106" s="52"/>
      <c r="Q106" s="52"/>
      <c r="R106" s="56"/>
    </row>
    <row r="107" spans="4:18" ht="23.25" customHeight="1" x14ac:dyDescent="0.25">
      <c r="D107" s="51">
        <v>105</v>
      </c>
      <c r="E107" s="52" t="str">
        <f t="shared" si="13"/>
        <v/>
      </c>
      <c r="F107" s="56"/>
      <c r="G107" s="69">
        <f t="shared" si="12"/>
        <v>0</v>
      </c>
      <c r="H107" s="51">
        <f t="shared" si="9"/>
        <v>0</v>
      </c>
      <c r="I107" s="52">
        <f t="shared" si="10"/>
        <v>0</v>
      </c>
      <c r="J107" s="52"/>
      <c r="K107" s="52"/>
      <c r="L107" s="52"/>
      <c r="M107" s="52"/>
      <c r="N107" s="52"/>
      <c r="O107" s="52"/>
      <c r="P107" s="52"/>
      <c r="Q107" s="52"/>
      <c r="R107" s="56"/>
    </row>
    <row r="108" spans="4:18" ht="23.25" customHeight="1" x14ac:dyDescent="0.25">
      <c r="D108" s="51">
        <v>106</v>
      </c>
      <c r="E108" s="52" t="str">
        <f t="shared" si="13"/>
        <v/>
      </c>
      <c r="F108" s="56"/>
      <c r="G108" s="69">
        <f t="shared" si="12"/>
        <v>0</v>
      </c>
      <c r="H108" s="51">
        <f t="shared" si="9"/>
        <v>0</v>
      </c>
      <c r="I108" s="52">
        <f t="shared" si="10"/>
        <v>0</v>
      </c>
      <c r="J108" s="52"/>
      <c r="K108" s="52"/>
      <c r="L108" s="52"/>
      <c r="M108" s="52"/>
      <c r="N108" s="52"/>
      <c r="O108" s="52"/>
      <c r="P108" s="52"/>
      <c r="Q108" s="52"/>
      <c r="R108" s="56"/>
    </row>
    <row r="109" spans="4:18" ht="23.25" customHeight="1" x14ac:dyDescent="0.25">
      <c r="D109" s="51">
        <v>107</v>
      </c>
      <c r="E109" s="52" t="str">
        <f t="shared" si="13"/>
        <v/>
      </c>
      <c r="F109" s="56"/>
      <c r="G109" s="69">
        <f t="shared" si="12"/>
        <v>0</v>
      </c>
      <c r="H109" s="51">
        <f t="shared" si="9"/>
        <v>0</v>
      </c>
      <c r="I109" s="52">
        <f t="shared" si="10"/>
        <v>0</v>
      </c>
      <c r="J109" s="52"/>
      <c r="K109" s="52"/>
      <c r="L109" s="52"/>
      <c r="M109" s="52"/>
      <c r="N109" s="52"/>
      <c r="O109" s="52"/>
      <c r="P109" s="52"/>
      <c r="Q109" s="52"/>
      <c r="R109" s="56"/>
    </row>
    <row r="110" spans="4:18" ht="23.25" customHeight="1" x14ac:dyDescent="0.25">
      <c r="D110" s="51">
        <v>108</v>
      </c>
      <c r="E110" s="52" t="str">
        <f t="shared" si="13"/>
        <v/>
      </c>
      <c r="F110" s="56"/>
      <c r="G110" s="69">
        <f t="shared" si="12"/>
        <v>0</v>
      </c>
      <c r="H110" s="51">
        <f t="shared" si="9"/>
        <v>0</v>
      </c>
      <c r="I110" s="52">
        <f t="shared" si="10"/>
        <v>0</v>
      </c>
      <c r="J110" s="52"/>
      <c r="K110" s="52"/>
      <c r="L110" s="52"/>
      <c r="M110" s="52"/>
      <c r="N110" s="52"/>
      <c r="O110" s="52"/>
      <c r="P110" s="52"/>
      <c r="Q110" s="52"/>
      <c r="R110" s="56"/>
    </row>
    <row r="111" spans="4:18" ht="23.25" customHeight="1" x14ac:dyDescent="0.25">
      <c r="D111" s="51">
        <v>109</v>
      </c>
      <c r="E111" s="52" t="str">
        <f t="shared" si="13"/>
        <v/>
      </c>
      <c r="F111" s="56"/>
      <c r="G111" s="69">
        <f t="shared" si="12"/>
        <v>0</v>
      </c>
      <c r="H111" s="51">
        <f t="shared" si="9"/>
        <v>0</v>
      </c>
      <c r="I111" s="52">
        <f t="shared" si="10"/>
        <v>0</v>
      </c>
      <c r="J111" s="52"/>
      <c r="K111" s="52"/>
      <c r="L111" s="52"/>
      <c r="M111" s="52"/>
      <c r="N111" s="52"/>
      <c r="O111" s="52"/>
      <c r="P111" s="52"/>
      <c r="Q111" s="52"/>
      <c r="R111" s="56"/>
    </row>
    <row r="112" spans="4:18" ht="23.25" customHeight="1" x14ac:dyDescent="0.25">
      <c r="D112" s="51">
        <v>110</v>
      </c>
      <c r="E112" s="52" t="str">
        <f t="shared" si="13"/>
        <v/>
      </c>
      <c r="F112" s="56"/>
      <c r="G112" s="69">
        <f t="shared" si="12"/>
        <v>0</v>
      </c>
      <c r="H112" s="51">
        <f t="shared" si="9"/>
        <v>0</v>
      </c>
      <c r="I112" s="52">
        <f t="shared" si="10"/>
        <v>0</v>
      </c>
      <c r="J112" s="52"/>
      <c r="K112" s="52"/>
      <c r="L112" s="52"/>
      <c r="M112" s="52"/>
      <c r="N112" s="52"/>
      <c r="O112" s="52"/>
      <c r="P112" s="52"/>
      <c r="Q112" s="52"/>
      <c r="R112" s="56"/>
    </row>
    <row r="113" spans="4:18" ht="23.25" customHeight="1" x14ac:dyDescent="0.25">
      <c r="D113" s="51">
        <v>111</v>
      </c>
      <c r="E113" s="52" t="str">
        <f t="shared" si="13"/>
        <v/>
      </c>
      <c r="F113" s="56"/>
      <c r="G113" s="69">
        <f t="shared" si="12"/>
        <v>0</v>
      </c>
      <c r="H113" s="51">
        <f t="shared" si="9"/>
        <v>0</v>
      </c>
      <c r="I113" s="52">
        <f t="shared" si="10"/>
        <v>0</v>
      </c>
      <c r="J113" s="52"/>
      <c r="K113" s="52"/>
      <c r="L113" s="52"/>
      <c r="M113" s="52"/>
      <c r="N113" s="52"/>
      <c r="O113" s="52"/>
      <c r="P113" s="52"/>
      <c r="Q113" s="52"/>
      <c r="R113" s="56"/>
    </row>
    <row r="114" spans="4:18" ht="23.25" customHeight="1" x14ac:dyDescent="0.25">
      <c r="D114" s="51">
        <v>112</v>
      </c>
      <c r="E114" s="52" t="str">
        <f t="shared" si="13"/>
        <v/>
      </c>
      <c r="F114" s="56"/>
      <c r="G114" s="69">
        <f t="shared" si="12"/>
        <v>0</v>
      </c>
      <c r="H114" s="51">
        <f t="shared" si="9"/>
        <v>0</v>
      </c>
      <c r="I114" s="52">
        <f t="shared" si="10"/>
        <v>0</v>
      </c>
      <c r="J114" s="52"/>
      <c r="K114" s="52"/>
      <c r="L114" s="52"/>
      <c r="M114" s="52"/>
      <c r="N114" s="52"/>
      <c r="O114" s="52"/>
      <c r="P114" s="52"/>
      <c r="Q114" s="52"/>
      <c r="R114" s="56"/>
    </row>
    <row r="115" spans="4:18" ht="23.25" customHeight="1" x14ac:dyDescent="0.25">
      <c r="D115" s="51">
        <v>113</v>
      </c>
      <c r="E115" s="52" t="str">
        <f t="shared" si="13"/>
        <v/>
      </c>
      <c r="F115" s="56"/>
      <c r="G115" s="69">
        <f t="shared" si="12"/>
        <v>0</v>
      </c>
      <c r="H115" s="51">
        <f t="shared" si="9"/>
        <v>0</v>
      </c>
      <c r="I115" s="52">
        <f t="shared" si="10"/>
        <v>0</v>
      </c>
      <c r="J115" s="52"/>
      <c r="K115" s="52"/>
      <c r="L115" s="52"/>
      <c r="M115" s="52"/>
      <c r="N115" s="52"/>
      <c r="O115" s="52"/>
      <c r="P115" s="52"/>
      <c r="Q115" s="52"/>
      <c r="R115" s="56"/>
    </row>
    <row r="116" spans="4:18" ht="23.25" customHeight="1" x14ac:dyDescent="0.25">
      <c r="D116" s="51">
        <v>114</v>
      </c>
      <c r="E116" s="52" t="str">
        <f t="shared" si="13"/>
        <v/>
      </c>
      <c r="F116" s="56"/>
      <c r="G116" s="69">
        <f t="shared" si="12"/>
        <v>0</v>
      </c>
      <c r="H116" s="51">
        <f t="shared" si="9"/>
        <v>0</v>
      </c>
      <c r="I116" s="52">
        <f t="shared" si="10"/>
        <v>0</v>
      </c>
      <c r="J116" s="52"/>
      <c r="K116" s="52"/>
      <c r="L116" s="52"/>
      <c r="M116" s="52"/>
      <c r="N116" s="52"/>
      <c r="O116" s="52"/>
      <c r="P116" s="52"/>
      <c r="Q116" s="52"/>
      <c r="R116" s="56"/>
    </row>
    <row r="117" spans="4:18" ht="23.25" customHeight="1" x14ac:dyDescent="0.25">
      <c r="D117" s="51">
        <v>115</v>
      </c>
      <c r="E117" s="52" t="str">
        <f t="shared" si="13"/>
        <v/>
      </c>
      <c r="F117" s="56"/>
      <c r="G117" s="69">
        <f t="shared" si="12"/>
        <v>0</v>
      </c>
      <c r="H117" s="51">
        <f t="shared" si="9"/>
        <v>0</v>
      </c>
      <c r="I117" s="52">
        <f t="shared" si="10"/>
        <v>0</v>
      </c>
      <c r="J117" s="52"/>
      <c r="K117" s="52"/>
      <c r="L117" s="52"/>
      <c r="M117" s="52"/>
      <c r="N117" s="52"/>
      <c r="O117" s="52"/>
      <c r="P117" s="52"/>
      <c r="Q117" s="52"/>
      <c r="R117" s="56"/>
    </row>
    <row r="118" spans="4:18" ht="23.25" customHeight="1" x14ac:dyDescent="0.25">
      <c r="D118" s="51">
        <v>116</v>
      </c>
      <c r="E118" s="52" t="str">
        <f t="shared" si="13"/>
        <v/>
      </c>
      <c r="F118" s="56"/>
      <c r="G118" s="69">
        <f t="shared" si="12"/>
        <v>0</v>
      </c>
      <c r="H118" s="51">
        <f t="shared" si="9"/>
        <v>0</v>
      </c>
      <c r="I118" s="52">
        <f t="shared" si="10"/>
        <v>0</v>
      </c>
      <c r="J118" s="52"/>
      <c r="K118" s="52"/>
      <c r="L118" s="52"/>
      <c r="M118" s="52"/>
      <c r="N118" s="52"/>
      <c r="O118" s="52"/>
      <c r="P118" s="52"/>
      <c r="Q118" s="52"/>
      <c r="R118" s="56"/>
    </row>
    <row r="119" spans="4:18" ht="23.25" customHeight="1" x14ac:dyDescent="0.25">
      <c r="D119" s="51">
        <v>117</v>
      </c>
      <c r="E119" s="52" t="str">
        <f t="shared" si="13"/>
        <v/>
      </c>
      <c r="F119" s="56"/>
      <c r="G119" s="69">
        <f t="shared" si="12"/>
        <v>0</v>
      </c>
      <c r="H119" s="51">
        <f t="shared" si="9"/>
        <v>0</v>
      </c>
      <c r="I119" s="52">
        <f t="shared" si="10"/>
        <v>0</v>
      </c>
      <c r="J119" s="52"/>
      <c r="K119" s="52"/>
      <c r="L119" s="52"/>
      <c r="M119" s="52"/>
      <c r="N119" s="52"/>
      <c r="O119" s="52"/>
      <c r="P119" s="52"/>
      <c r="Q119" s="52"/>
      <c r="R119" s="56"/>
    </row>
    <row r="120" spans="4:18" ht="23.25" customHeight="1" x14ac:dyDescent="0.25">
      <c r="D120" s="51">
        <v>118</v>
      </c>
      <c r="E120" s="52" t="str">
        <f t="shared" si="13"/>
        <v/>
      </c>
      <c r="F120" s="56"/>
      <c r="G120" s="69">
        <f t="shared" si="12"/>
        <v>0</v>
      </c>
      <c r="H120" s="51">
        <f t="shared" si="9"/>
        <v>0</v>
      </c>
      <c r="I120" s="52">
        <f t="shared" si="10"/>
        <v>0</v>
      </c>
      <c r="J120" s="52"/>
      <c r="K120" s="52"/>
      <c r="L120" s="52"/>
      <c r="M120" s="52"/>
      <c r="N120" s="52"/>
      <c r="O120" s="52"/>
      <c r="P120" s="52"/>
      <c r="Q120" s="52"/>
      <c r="R120" s="56"/>
    </row>
    <row r="121" spans="4:18" ht="23.25" customHeight="1" x14ac:dyDescent="0.25">
      <c r="D121" s="51">
        <v>119</v>
      </c>
      <c r="E121" s="52" t="str">
        <f t="shared" si="13"/>
        <v/>
      </c>
      <c r="F121" s="56"/>
      <c r="G121" s="69">
        <f t="shared" si="12"/>
        <v>0</v>
      </c>
      <c r="H121" s="51">
        <f t="shared" si="9"/>
        <v>0</v>
      </c>
      <c r="I121" s="52">
        <f t="shared" si="10"/>
        <v>0</v>
      </c>
      <c r="J121" s="52"/>
      <c r="K121" s="52"/>
      <c r="L121" s="52"/>
      <c r="M121" s="52"/>
      <c r="N121" s="52"/>
      <c r="O121" s="52"/>
      <c r="P121" s="52"/>
      <c r="Q121" s="52"/>
      <c r="R121" s="56"/>
    </row>
    <row r="122" spans="4:18" ht="23.25" customHeight="1" x14ac:dyDescent="0.25">
      <c r="D122" s="51">
        <v>120</v>
      </c>
      <c r="E122" s="52" t="str">
        <f t="shared" si="13"/>
        <v/>
      </c>
      <c r="F122" s="56"/>
      <c r="G122" s="69">
        <f t="shared" si="12"/>
        <v>0</v>
      </c>
      <c r="H122" s="51">
        <f t="shared" si="9"/>
        <v>0</v>
      </c>
      <c r="I122" s="52">
        <f t="shared" si="10"/>
        <v>0</v>
      </c>
      <c r="J122" s="52"/>
      <c r="K122" s="52"/>
      <c r="L122" s="52"/>
      <c r="M122" s="52"/>
      <c r="N122" s="52"/>
      <c r="O122" s="52"/>
      <c r="P122" s="52"/>
      <c r="Q122" s="52"/>
      <c r="R122" s="56"/>
    </row>
    <row r="123" spans="4:18" ht="23.25" customHeight="1" x14ac:dyDescent="0.25">
      <c r="D123" s="51">
        <v>121</v>
      </c>
      <c r="E123" s="52" t="str">
        <f t="shared" si="13"/>
        <v/>
      </c>
      <c r="F123" s="56"/>
      <c r="G123" s="69">
        <f t="shared" si="12"/>
        <v>0</v>
      </c>
      <c r="H123" s="51">
        <f t="shared" si="9"/>
        <v>0</v>
      </c>
      <c r="I123" s="52">
        <f t="shared" si="10"/>
        <v>0</v>
      </c>
      <c r="J123" s="52"/>
      <c r="K123" s="52"/>
      <c r="L123" s="52"/>
      <c r="M123" s="52"/>
      <c r="N123" s="52"/>
      <c r="O123" s="52"/>
      <c r="P123" s="52"/>
      <c r="Q123" s="52"/>
      <c r="R123" s="56"/>
    </row>
    <row r="124" spans="4:18" ht="23.25" customHeight="1" x14ac:dyDescent="0.25">
      <c r="D124" s="51">
        <v>122</v>
      </c>
      <c r="E124" s="52" t="str">
        <f t="shared" si="13"/>
        <v/>
      </c>
      <c r="F124" s="56"/>
      <c r="G124" s="69">
        <f t="shared" si="12"/>
        <v>0</v>
      </c>
      <c r="H124" s="51">
        <f t="shared" si="9"/>
        <v>0</v>
      </c>
      <c r="I124" s="52">
        <f t="shared" si="10"/>
        <v>0</v>
      </c>
      <c r="J124" s="52"/>
      <c r="K124" s="52"/>
      <c r="L124" s="52"/>
      <c r="M124" s="52"/>
      <c r="N124" s="52"/>
      <c r="O124" s="52"/>
      <c r="P124" s="52"/>
      <c r="Q124" s="52"/>
      <c r="R124" s="56"/>
    </row>
    <row r="125" spans="4:18" ht="23.25" customHeight="1" x14ac:dyDescent="0.25">
      <c r="D125" s="51">
        <v>123</v>
      </c>
      <c r="E125" s="52" t="str">
        <f t="shared" si="13"/>
        <v/>
      </c>
      <c r="F125" s="56"/>
      <c r="G125" s="69">
        <f t="shared" si="12"/>
        <v>0</v>
      </c>
      <c r="H125" s="51">
        <f t="shared" si="9"/>
        <v>0</v>
      </c>
      <c r="I125" s="52">
        <f t="shared" si="10"/>
        <v>0</v>
      </c>
      <c r="J125" s="52"/>
      <c r="K125" s="52"/>
      <c r="L125" s="52"/>
      <c r="M125" s="52"/>
      <c r="N125" s="52"/>
      <c r="O125" s="52"/>
      <c r="P125" s="52"/>
      <c r="Q125" s="52"/>
      <c r="R125" s="56"/>
    </row>
    <row r="126" spans="4:18" ht="23.25" customHeight="1" x14ac:dyDescent="0.25">
      <c r="D126" s="51">
        <v>124</v>
      </c>
      <c r="E126" s="52" t="str">
        <f t="shared" si="13"/>
        <v/>
      </c>
      <c r="F126" s="56"/>
      <c r="G126" s="69">
        <f t="shared" si="12"/>
        <v>0</v>
      </c>
      <c r="H126" s="51">
        <f t="shared" si="9"/>
        <v>0</v>
      </c>
      <c r="I126" s="52">
        <f t="shared" si="10"/>
        <v>0</v>
      </c>
      <c r="J126" s="52"/>
      <c r="K126" s="52"/>
      <c r="L126" s="52"/>
      <c r="M126" s="52"/>
      <c r="N126" s="52"/>
      <c r="O126" s="52"/>
      <c r="P126" s="52"/>
      <c r="Q126" s="52"/>
      <c r="R126" s="56"/>
    </row>
    <row r="127" spans="4:18" ht="23.25" customHeight="1" x14ac:dyDescent="0.25">
      <c r="D127" s="51">
        <v>125</v>
      </c>
      <c r="E127" s="52" t="str">
        <f t="shared" si="13"/>
        <v/>
      </c>
      <c r="F127" s="56"/>
      <c r="G127" s="69">
        <f t="shared" si="12"/>
        <v>0</v>
      </c>
      <c r="H127" s="51">
        <f t="shared" si="9"/>
        <v>0</v>
      </c>
      <c r="I127" s="52">
        <f t="shared" si="10"/>
        <v>0</v>
      </c>
      <c r="J127" s="52"/>
      <c r="K127" s="52"/>
      <c r="L127" s="52"/>
      <c r="M127" s="52"/>
      <c r="N127" s="52"/>
      <c r="O127" s="52"/>
      <c r="P127" s="52"/>
      <c r="Q127" s="52"/>
      <c r="R127" s="56"/>
    </row>
    <row r="128" spans="4:18" ht="23.25" customHeight="1" x14ac:dyDescent="0.25">
      <c r="D128" s="51">
        <v>126</v>
      </c>
      <c r="E128" s="52" t="str">
        <f t="shared" si="13"/>
        <v/>
      </c>
      <c r="F128" s="56"/>
      <c r="G128" s="69">
        <f t="shared" si="12"/>
        <v>0</v>
      </c>
      <c r="H128" s="51">
        <f t="shared" si="9"/>
        <v>0</v>
      </c>
      <c r="I128" s="52">
        <f t="shared" si="10"/>
        <v>0</v>
      </c>
      <c r="J128" s="52"/>
      <c r="K128" s="52"/>
      <c r="L128" s="52"/>
      <c r="M128" s="52"/>
      <c r="N128" s="52"/>
      <c r="O128" s="52"/>
      <c r="P128" s="52"/>
      <c r="Q128" s="52"/>
      <c r="R128" s="56"/>
    </row>
    <row r="129" spans="4:18" ht="23.25" customHeight="1" x14ac:dyDescent="0.25">
      <c r="D129" s="51">
        <v>127</v>
      </c>
      <c r="E129" s="52" t="str">
        <f t="shared" si="13"/>
        <v/>
      </c>
      <c r="F129" s="56"/>
      <c r="G129" s="69">
        <f t="shared" si="12"/>
        <v>0</v>
      </c>
      <c r="H129" s="51">
        <f t="shared" si="9"/>
        <v>0</v>
      </c>
      <c r="I129" s="52">
        <f t="shared" si="10"/>
        <v>0</v>
      </c>
      <c r="J129" s="52"/>
      <c r="K129" s="52"/>
      <c r="L129" s="52"/>
      <c r="M129" s="52"/>
      <c r="N129" s="52"/>
      <c r="O129" s="52"/>
      <c r="P129" s="52"/>
      <c r="Q129" s="52"/>
      <c r="R129" s="56"/>
    </row>
    <row r="130" spans="4:18" ht="23.25" customHeight="1" x14ac:dyDescent="0.25">
      <c r="D130" s="51">
        <v>128</v>
      </c>
      <c r="E130" s="52" t="str">
        <f t="shared" si="13"/>
        <v/>
      </c>
      <c r="F130" s="56"/>
      <c r="G130" s="69">
        <f t="shared" si="12"/>
        <v>0</v>
      </c>
      <c r="H130" s="51">
        <f t="shared" si="9"/>
        <v>0</v>
      </c>
      <c r="I130" s="52">
        <f t="shared" si="10"/>
        <v>0</v>
      </c>
      <c r="J130" s="52"/>
      <c r="K130" s="52"/>
      <c r="L130" s="52"/>
      <c r="M130" s="52"/>
      <c r="N130" s="52"/>
      <c r="O130" s="52"/>
      <c r="P130" s="52"/>
      <c r="Q130" s="52"/>
      <c r="R130" s="56"/>
    </row>
    <row r="131" spans="4:18" ht="23.25" customHeight="1" x14ac:dyDescent="0.25">
      <c r="D131" s="51">
        <v>129</v>
      </c>
      <c r="E131" s="52" t="str">
        <f t="shared" si="13"/>
        <v/>
      </c>
      <c r="F131" s="56"/>
      <c r="G131" s="69">
        <f t="shared" si="12"/>
        <v>0</v>
      </c>
      <c r="H131" s="51">
        <f t="shared" si="9"/>
        <v>0</v>
      </c>
      <c r="I131" s="52">
        <f t="shared" si="10"/>
        <v>0</v>
      </c>
      <c r="J131" s="52"/>
      <c r="K131" s="52"/>
      <c r="L131" s="52"/>
      <c r="M131" s="52"/>
      <c r="N131" s="52"/>
      <c r="O131" s="52"/>
      <c r="P131" s="52"/>
      <c r="Q131" s="52"/>
      <c r="R131" s="56"/>
    </row>
    <row r="132" spans="4:18" ht="23.25" customHeight="1" x14ac:dyDescent="0.25">
      <c r="D132" s="51">
        <v>130</v>
      </c>
      <c r="E132" s="52" t="str">
        <f t="shared" si="13"/>
        <v/>
      </c>
      <c r="F132" s="56"/>
      <c r="G132" s="69">
        <f t="shared" ref="G132:G142" si="14">IF(E132="",0,_xlfn.CONCAT(E132,D132))</f>
        <v>0</v>
      </c>
      <c r="H132" s="51">
        <f t="shared" ref="H132:H138" si="15">B132</f>
        <v>0</v>
      </c>
      <c r="I132" s="52">
        <f t="shared" ref="I132:I138" si="16">C132</f>
        <v>0</v>
      </c>
      <c r="J132" s="52"/>
      <c r="K132" s="52"/>
      <c r="L132" s="52"/>
      <c r="M132" s="52"/>
      <c r="N132" s="52"/>
      <c r="O132" s="52"/>
      <c r="P132" s="52"/>
      <c r="Q132" s="52"/>
      <c r="R132" s="56"/>
    </row>
    <row r="133" spans="4:18" ht="23.25" customHeight="1" x14ac:dyDescent="0.25">
      <c r="D133" s="51">
        <v>131</v>
      </c>
      <c r="E133" s="52" t="str">
        <f t="shared" si="13"/>
        <v/>
      </c>
      <c r="F133" s="56"/>
      <c r="G133" s="69">
        <f t="shared" si="14"/>
        <v>0</v>
      </c>
      <c r="H133" s="51">
        <f t="shared" si="15"/>
        <v>0</v>
      </c>
      <c r="I133" s="52">
        <f t="shared" si="16"/>
        <v>0</v>
      </c>
      <c r="J133" s="52"/>
      <c r="K133" s="52"/>
      <c r="L133" s="52"/>
      <c r="M133" s="52"/>
      <c r="N133" s="52"/>
      <c r="O133" s="52"/>
      <c r="P133" s="52"/>
      <c r="Q133" s="52"/>
      <c r="R133" s="56"/>
    </row>
    <row r="134" spans="4:18" ht="23.25" customHeight="1" x14ac:dyDescent="0.25">
      <c r="D134" s="51">
        <v>132</v>
      </c>
      <c r="E134" s="52" t="str">
        <f t="shared" si="13"/>
        <v/>
      </c>
      <c r="F134" s="56"/>
      <c r="G134" s="69">
        <f t="shared" si="14"/>
        <v>0</v>
      </c>
      <c r="H134" s="51">
        <f t="shared" si="15"/>
        <v>0</v>
      </c>
      <c r="I134" s="52">
        <f t="shared" si="16"/>
        <v>0</v>
      </c>
      <c r="J134" s="52"/>
      <c r="K134" s="52"/>
      <c r="L134" s="52"/>
      <c r="M134" s="52"/>
      <c r="N134" s="52"/>
      <c r="O134" s="52"/>
      <c r="P134" s="52"/>
      <c r="Q134" s="52"/>
      <c r="R134" s="56"/>
    </row>
    <row r="135" spans="4:18" ht="23.25" customHeight="1" x14ac:dyDescent="0.25">
      <c r="D135" s="51">
        <v>133</v>
      </c>
      <c r="E135" s="52" t="str">
        <f t="shared" si="13"/>
        <v/>
      </c>
      <c r="F135" s="56"/>
      <c r="G135" s="69">
        <f t="shared" si="14"/>
        <v>0</v>
      </c>
      <c r="H135" s="51">
        <f t="shared" si="15"/>
        <v>0</v>
      </c>
      <c r="I135" s="52">
        <f t="shared" si="16"/>
        <v>0</v>
      </c>
      <c r="J135" s="52"/>
      <c r="K135" s="52"/>
      <c r="L135" s="52"/>
      <c r="M135" s="52"/>
      <c r="N135" s="52"/>
      <c r="O135" s="52"/>
      <c r="P135" s="52"/>
      <c r="Q135" s="52"/>
      <c r="R135" s="56"/>
    </row>
    <row r="136" spans="4:18" ht="23.25" customHeight="1" x14ac:dyDescent="0.25">
      <c r="D136" s="51">
        <v>134</v>
      </c>
      <c r="E136" s="52" t="str">
        <f t="shared" si="13"/>
        <v/>
      </c>
      <c r="F136" s="56"/>
      <c r="G136" s="69">
        <f t="shared" si="14"/>
        <v>0</v>
      </c>
      <c r="H136" s="51">
        <f t="shared" si="15"/>
        <v>0</v>
      </c>
      <c r="I136" s="52">
        <f t="shared" si="16"/>
        <v>0</v>
      </c>
      <c r="J136" s="52"/>
      <c r="K136" s="52"/>
      <c r="L136" s="52"/>
      <c r="M136" s="52"/>
      <c r="N136" s="52"/>
      <c r="O136" s="52"/>
      <c r="P136" s="52"/>
      <c r="Q136" s="52"/>
      <c r="R136" s="56"/>
    </row>
    <row r="137" spans="4:18" ht="23.25" customHeight="1" x14ac:dyDescent="0.25">
      <c r="D137" s="51">
        <v>135</v>
      </c>
      <c r="E137" s="52" t="str">
        <f t="shared" si="13"/>
        <v/>
      </c>
      <c r="F137" s="56"/>
      <c r="G137" s="69">
        <f t="shared" si="14"/>
        <v>0</v>
      </c>
      <c r="H137" s="51">
        <f t="shared" si="15"/>
        <v>0</v>
      </c>
      <c r="I137" s="52">
        <f t="shared" si="16"/>
        <v>0</v>
      </c>
      <c r="J137" s="52"/>
      <c r="K137" s="52"/>
      <c r="L137" s="52"/>
      <c r="M137" s="52"/>
      <c r="N137" s="52"/>
      <c r="O137" s="52"/>
      <c r="P137" s="52"/>
      <c r="Q137" s="52"/>
      <c r="R137" s="56"/>
    </row>
    <row r="138" spans="4:18" ht="23.25" customHeight="1" x14ac:dyDescent="0.25">
      <c r="D138" s="51">
        <v>136</v>
      </c>
      <c r="E138" s="52" t="str">
        <f t="shared" si="13"/>
        <v/>
      </c>
      <c r="F138" s="56"/>
      <c r="G138" s="69">
        <f t="shared" si="14"/>
        <v>0</v>
      </c>
      <c r="H138" s="51">
        <f t="shared" si="15"/>
        <v>0</v>
      </c>
      <c r="I138" s="52">
        <f t="shared" si="16"/>
        <v>0</v>
      </c>
      <c r="J138" s="52"/>
      <c r="K138" s="52"/>
      <c r="L138" s="52"/>
      <c r="M138" s="52"/>
      <c r="N138" s="52"/>
      <c r="O138" s="52"/>
      <c r="P138" s="52"/>
      <c r="Q138" s="52"/>
      <c r="R138" s="56"/>
    </row>
    <row r="139" spans="4:18" ht="23.25" customHeight="1" x14ac:dyDescent="0.25">
      <c r="D139" s="51">
        <v>137</v>
      </c>
      <c r="E139" s="52" t="str">
        <f t="shared" si="13"/>
        <v/>
      </c>
      <c r="F139" s="56"/>
      <c r="G139" s="69">
        <f t="shared" si="14"/>
        <v>0</v>
      </c>
      <c r="H139" s="51">
        <f t="shared" ref="H139:H142" si="17">B139</f>
        <v>0</v>
      </c>
      <c r="I139" s="52">
        <f t="shared" ref="I139:I142" si="18">C139</f>
        <v>0</v>
      </c>
      <c r="J139" s="52"/>
      <c r="K139" s="52"/>
      <c r="L139" s="52"/>
      <c r="M139" s="52"/>
      <c r="N139" s="52"/>
      <c r="O139" s="52"/>
      <c r="P139" s="52"/>
      <c r="Q139" s="52"/>
      <c r="R139" s="56"/>
    </row>
    <row r="140" spans="4:18" ht="23.25" customHeight="1" x14ac:dyDescent="0.25">
      <c r="D140" s="51">
        <v>138</v>
      </c>
      <c r="E140" s="52" t="str">
        <f t="shared" si="13"/>
        <v/>
      </c>
      <c r="F140" s="56"/>
      <c r="G140" s="69">
        <f t="shared" si="14"/>
        <v>0</v>
      </c>
      <c r="H140" s="51">
        <f t="shared" si="17"/>
        <v>0</v>
      </c>
      <c r="I140" s="52">
        <f t="shared" si="18"/>
        <v>0</v>
      </c>
      <c r="J140" s="52"/>
      <c r="K140" s="52"/>
      <c r="L140" s="52"/>
      <c r="M140" s="52"/>
      <c r="N140" s="52"/>
      <c r="O140" s="52"/>
      <c r="P140" s="52"/>
      <c r="Q140" s="52"/>
      <c r="R140" s="56"/>
    </row>
    <row r="141" spans="4:18" ht="23.25" customHeight="1" x14ac:dyDescent="0.25">
      <c r="D141" s="51">
        <v>139</v>
      </c>
      <c r="E141" s="52" t="str">
        <f t="shared" si="13"/>
        <v/>
      </c>
      <c r="F141" s="56"/>
      <c r="G141" s="69">
        <f t="shared" si="14"/>
        <v>0</v>
      </c>
      <c r="H141" s="51">
        <f t="shared" si="17"/>
        <v>0</v>
      </c>
      <c r="I141" s="52">
        <f t="shared" si="18"/>
        <v>0</v>
      </c>
      <c r="J141" s="52"/>
      <c r="K141" s="52"/>
      <c r="L141" s="52"/>
      <c r="M141" s="52"/>
      <c r="N141" s="52"/>
      <c r="O141" s="52"/>
      <c r="P141" s="52"/>
      <c r="Q141" s="52"/>
      <c r="R141" s="56"/>
    </row>
    <row r="142" spans="4:18" ht="23.25" customHeight="1" thickBot="1" x14ac:dyDescent="0.3">
      <c r="D142" s="64">
        <v>140</v>
      </c>
      <c r="E142" s="65" t="str">
        <f t="shared" si="13"/>
        <v/>
      </c>
      <c r="F142" s="66"/>
      <c r="G142" s="70">
        <f t="shared" si="14"/>
        <v>0</v>
      </c>
      <c r="H142" s="64">
        <f t="shared" si="17"/>
        <v>0</v>
      </c>
      <c r="I142" s="65">
        <f t="shared" si="18"/>
        <v>0</v>
      </c>
      <c r="J142" s="65"/>
      <c r="K142" s="65"/>
      <c r="L142" s="65"/>
      <c r="M142" s="65"/>
      <c r="N142" s="65"/>
      <c r="O142" s="65"/>
      <c r="P142" s="65"/>
      <c r="Q142" s="65"/>
      <c r="R142" s="66"/>
    </row>
  </sheetData>
  <autoFilter ref="A2:R132" xr:uid="{4FC6AA46-AD8F-40E2-B22F-B1A51128AC7A}"/>
  <pageMargins left="0.7" right="0.7" top="0.75" bottom="0.75" header="0.3" footer="0.3"/>
  <pageSetup paperSize="8" scale="40" orientation="landscape" r:id="rId1"/>
  <rowBreaks count="1" manualBreakCount="1">
    <brk id="74" max="17" man="1"/>
  </rowBreaks>
  <colBreaks count="1" manualBreakCount="1">
    <brk id="18" max="141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4997-110B-4D0F-86D0-76CDF7B6412E}">
  <dimension ref="A2:AV52"/>
  <sheetViews>
    <sheetView zoomScale="70" zoomScaleNormal="70" workbookViewId="0">
      <selection activeCell="I9" sqref="I9"/>
    </sheetView>
  </sheetViews>
  <sheetFormatPr defaultColWidth="7.42578125" defaultRowHeight="12.75" x14ac:dyDescent="0.25"/>
  <cols>
    <col min="1" max="2" width="6.28515625" style="9" customWidth="1"/>
    <col min="3" max="6" width="7.42578125" style="9"/>
    <col min="7" max="7" width="7.5703125" style="9" customWidth="1"/>
    <col min="8" max="38" width="7.42578125" style="9"/>
    <col min="39" max="39" width="7.42578125" style="9" customWidth="1"/>
    <col min="40" max="16384" width="7.42578125" style="9"/>
  </cols>
  <sheetData>
    <row r="2" spans="1:48" s="10" customFormat="1" ht="27" customHeight="1" x14ac:dyDescent="0.25">
      <c r="A2" s="73" t="s">
        <v>390</v>
      </c>
      <c r="B2" s="74"/>
      <c r="C2" s="12">
        <f>C1+1</f>
        <v>1</v>
      </c>
      <c r="D2" s="12">
        <f>C2+1</f>
        <v>2</v>
      </c>
      <c r="E2" s="12">
        <f t="shared" ref="E2:AM2" si="0">D2+1</f>
        <v>3</v>
      </c>
      <c r="F2" s="12">
        <f t="shared" si="0"/>
        <v>4</v>
      </c>
      <c r="G2" s="12">
        <f t="shared" si="0"/>
        <v>5</v>
      </c>
      <c r="H2" s="12">
        <f t="shared" si="0"/>
        <v>6</v>
      </c>
      <c r="I2" s="12">
        <f t="shared" si="0"/>
        <v>7</v>
      </c>
      <c r="J2" s="12">
        <f t="shared" si="0"/>
        <v>8</v>
      </c>
      <c r="K2" s="12">
        <f t="shared" si="0"/>
        <v>9</v>
      </c>
      <c r="L2" s="12">
        <f t="shared" si="0"/>
        <v>10</v>
      </c>
      <c r="M2" s="12">
        <f t="shared" si="0"/>
        <v>11</v>
      </c>
      <c r="N2" s="12">
        <f t="shared" si="0"/>
        <v>12</v>
      </c>
      <c r="O2" s="12">
        <f t="shared" si="0"/>
        <v>13</v>
      </c>
      <c r="P2" s="12">
        <f t="shared" si="0"/>
        <v>14</v>
      </c>
      <c r="Q2" s="12">
        <f t="shared" si="0"/>
        <v>15</v>
      </c>
      <c r="R2" s="12">
        <f t="shared" si="0"/>
        <v>16</v>
      </c>
      <c r="S2" s="12">
        <f t="shared" si="0"/>
        <v>17</v>
      </c>
      <c r="T2" s="12">
        <f t="shared" si="0"/>
        <v>18</v>
      </c>
      <c r="U2" s="12">
        <f t="shared" si="0"/>
        <v>19</v>
      </c>
      <c r="V2" s="12">
        <f t="shared" si="0"/>
        <v>20</v>
      </c>
      <c r="W2" s="12">
        <f t="shared" si="0"/>
        <v>21</v>
      </c>
      <c r="X2" s="12">
        <f t="shared" si="0"/>
        <v>22</v>
      </c>
      <c r="Y2" s="12">
        <f t="shared" si="0"/>
        <v>23</v>
      </c>
      <c r="Z2" s="12">
        <f t="shared" si="0"/>
        <v>24</v>
      </c>
      <c r="AA2" s="12">
        <f t="shared" si="0"/>
        <v>25</v>
      </c>
      <c r="AB2" s="12">
        <f t="shared" si="0"/>
        <v>26</v>
      </c>
      <c r="AC2" s="12">
        <f t="shared" si="0"/>
        <v>27</v>
      </c>
      <c r="AD2" s="12">
        <f t="shared" si="0"/>
        <v>28</v>
      </c>
      <c r="AE2" s="12">
        <f t="shared" si="0"/>
        <v>29</v>
      </c>
      <c r="AF2" s="12">
        <f t="shared" si="0"/>
        <v>30</v>
      </c>
      <c r="AG2" s="12">
        <f t="shared" si="0"/>
        <v>31</v>
      </c>
      <c r="AH2" s="12">
        <f t="shared" si="0"/>
        <v>32</v>
      </c>
      <c r="AI2" s="12">
        <f t="shared" si="0"/>
        <v>33</v>
      </c>
      <c r="AJ2" s="12">
        <f t="shared" si="0"/>
        <v>34</v>
      </c>
      <c r="AK2" s="12">
        <f t="shared" si="0"/>
        <v>35</v>
      </c>
      <c r="AL2" s="12">
        <f t="shared" si="0"/>
        <v>36</v>
      </c>
      <c r="AM2" s="12">
        <f t="shared" si="0"/>
        <v>37</v>
      </c>
      <c r="AN2" s="12">
        <f t="shared" ref="AN2" si="1">AM2+1</f>
        <v>38</v>
      </c>
      <c r="AO2" s="12">
        <f t="shared" ref="AO2" si="2">AN2+1</f>
        <v>39</v>
      </c>
      <c r="AP2" s="12">
        <f t="shared" ref="AP2:AR2" si="3">AO2+1</f>
        <v>40</v>
      </c>
      <c r="AQ2" s="12">
        <f t="shared" si="3"/>
        <v>41</v>
      </c>
      <c r="AR2" s="12">
        <f t="shared" si="3"/>
        <v>42</v>
      </c>
      <c r="AS2" s="12"/>
      <c r="AT2" s="12"/>
      <c r="AU2" s="12"/>
      <c r="AV2" s="12"/>
    </row>
    <row r="3" spans="1:48" s="10" customFormat="1" ht="27" customHeight="1" x14ac:dyDescent="0.25">
      <c r="A3" s="75"/>
      <c r="B3" s="76"/>
      <c r="C3" s="12" t="str">
        <f>VLOOKUP(C2,$A$4:$B$77,2,0)</f>
        <v>A1</v>
      </c>
      <c r="D3" s="12" t="str">
        <f t="shared" ref="D3:AR3" si="4">VLOOKUP(D2,$A$4:$B$77,2,0)</f>
        <v>E2</v>
      </c>
      <c r="E3" s="12" t="str">
        <f t="shared" si="4"/>
        <v>W3</v>
      </c>
      <c r="F3" s="12" t="str">
        <f t="shared" si="4"/>
        <v>A4</v>
      </c>
      <c r="G3" s="12" t="str">
        <f t="shared" si="4"/>
        <v>I5</v>
      </c>
      <c r="H3" s="12" t="str">
        <f t="shared" si="4"/>
        <v>K6</v>
      </c>
      <c r="I3" s="12" t="str">
        <f t="shared" si="4"/>
        <v>T7</v>
      </c>
      <c r="J3" s="12" t="str">
        <f t="shared" si="4"/>
        <v>F8</v>
      </c>
      <c r="K3" s="12" t="str">
        <f t="shared" si="4"/>
        <v>S9</v>
      </c>
      <c r="L3" s="12" t="str">
        <f t="shared" si="4"/>
        <v>A10</v>
      </c>
      <c r="M3" s="12" t="str">
        <f t="shared" si="4"/>
        <v>G11</v>
      </c>
      <c r="N3" s="12" t="str">
        <f t="shared" si="4"/>
        <v>M12</v>
      </c>
      <c r="O3" s="12" t="str">
        <f t="shared" si="4"/>
        <v>G13</v>
      </c>
      <c r="P3" s="12" t="str">
        <f t="shared" si="4"/>
        <v>H14</v>
      </c>
      <c r="Q3" s="12" t="str">
        <f t="shared" si="4"/>
        <v>A15</v>
      </c>
      <c r="R3" s="12" t="str">
        <f t="shared" si="4"/>
        <v>A16</v>
      </c>
      <c r="S3" s="12" t="str">
        <f t="shared" si="4"/>
        <v>A17</v>
      </c>
      <c r="T3" s="12" t="str">
        <f t="shared" si="4"/>
        <v>J18-MEP</v>
      </c>
      <c r="U3" s="12" t="str">
        <f t="shared" si="4"/>
        <v>E19-MEP</v>
      </c>
      <c r="V3" s="12" t="str">
        <f t="shared" si="4"/>
        <v>E20-MEP</v>
      </c>
      <c r="W3" s="12" t="str">
        <f t="shared" si="4"/>
        <v>S21-MEP</v>
      </c>
      <c r="X3" s="12">
        <f t="shared" si="4"/>
        <v>0</v>
      </c>
      <c r="Y3" s="12" t="str">
        <f t="shared" si="4"/>
        <v>G23-MEP</v>
      </c>
      <c r="Z3" s="12" t="str">
        <f t="shared" si="4"/>
        <v>T24-MEP</v>
      </c>
      <c r="AA3" s="12" t="str">
        <f t="shared" si="4"/>
        <v>F25-MEP</v>
      </c>
      <c r="AB3" s="12" t="str">
        <f t="shared" si="4"/>
        <v>T26-MEP</v>
      </c>
      <c r="AC3" s="12" t="str">
        <f t="shared" si="4"/>
        <v>J27-MEP</v>
      </c>
      <c r="AD3" s="12" t="str">
        <f t="shared" si="4"/>
        <v>A28-MEP</v>
      </c>
      <c r="AE3" s="12" t="str">
        <f t="shared" si="4"/>
        <v>G29</v>
      </c>
      <c r="AF3" s="12" t="str">
        <f t="shared" si="4"/>
        <v>F30</v>
      </c>
      <c r="AG3" s="12" t="str">
        <f t="shared" si="4"/>
        <v>R31-MEP</v>
      </c>
      <c r="AH3" s="12" t="str">
        <f t="shared" si="4"/>
        <v>M32-B</v>
      </c>
      <c r="AI3" s="12" t="str">
        <f t="shared" si="4"/>
        <v>I33-B</v>
      </c>
      <c r="AJ3" s="12" t="str">
        <f t="shared" si="4"/>
        <v>M34-B</v>
      </c>
      <c r="AK3" s="12" t="str">
        <f t="shared" si="4"/>
        <v>K35-B</v>
      </c>
      <c r="AL3" s="12" t="str">
        <f t="shared" si="4"/>
        <v>A36-B</v>
      </c>
      <c r="AM3" s="12" t="str">
        <f t="shared" si="4"/>
        <v>M37-B</v>
      </c>
      <c r="AN3" s="12" t="str">
        <f t="shared" si="4"/>
        <v>M38-MEP</v>
      </c>
      <c r="AO3" s="12">
        <f t="shared" si="4"/>
        <v>0</v>
      </c>
      <c r="AP3" s="12" t="str">
        <f t="shared" si="4"/>
        <v>A40</v>
      </c>
      <c r="AQ3" s="12" t="str">
        <f t="shared" si="4"/>
        <v>H41</v>
      </c>
      <c r="AR3" s="12" t="str">
        <f t="shared" si="4"/>
        <v>M42</v>
      </c>
      <c r="AS3" s="12"/>
      <c r="AT3" s="12"/>
      <c r="AU3" s="12"/>
      <c r="AV3" s="12"/>
    </row>
    <row r="4" spans="1:48" x14ac:dyDescent="0.25">
      <c r="A4" s="13">
        <f>1</f>
        <v>1</v>
      </c>
      <c r="B4" s="8" t="str">
        <f>Links!G3</f>
        <v>A1</v>
      </c>
      <c r="C4" s="11" t="str">
        <f>IF(OR($B4=0,C$3=0),"",_xlfn.CONCAT($B4,VLOOKUP(C$2,$A$4:$B$70,2,0)))</f>
        <v>A1A1</v>
      </c>
      <c r="D4" s="11" t="str">
        <f t="shared" ref="D4:S19" si="5">IF(OR($B4=0,D$3=0),"",_xlfn.CONCAT($B4,VLOOKUP(D$2,$A$4:$B$70,2,0)))</f>
        <v>A1E2</v>
      </c>
      <c r="E4" s="11" t="str">
        <f t="shared" si="5"/>
        <v>A1W3</v>
      </c>
      <c r="F4" s="11" t="str">
        <f t="shared" si="5"/>
        <v>A1A4</v>
      </c>
      <c r="G4" s="11" t="str">
        <f t="shared" si="5"/>
        <v>A1I5</v>
      </c>
      <c r="H4" s="11" t="str">
        <f t="shared" si="5"/>
        <v>A1K6</v>
      </c>
      <c r="I4" s="11" t="str">
        <f t="shared" si="5"/>
        <v>A1T7</v>
      </c>
      <c r="J4" s="11" t="str">
        <f t="shared" si="5"/>
        <v>A1F8</v>
      </c>
      <c r="K4" s="11" t="str">
        <f t="shared" si="5"/>
        <v>A1S9</v>
      </c>
      <c r="L4" s="11" t="str">
        <f t="shared" si="5"/>
        <v>A1A10</v>
      </c>
      <c r="M4" s="11" t="str">
        <f t="shared" si="5"/>
        <v>A1G11</v>
      </c>
      <c r="N4" s="11" t="str">
        <f t="shared" si="5"/>
        <v>A1M12</v>
      </c>
      <c r="O4" s="11" t="str">
        <f t="shared" si="5"/>
        <v>A1G13</v>
      </c>
      <c r="P4" s="11" t="str">
        <f t="shared" si="5"/>
        <v>A1H14</v>
      </c>
      <c r="Q4" s="11" t="str">
        <f t="shared" si="5"/>
        <v>A1A15</v>
      </c>
      <c r="R4" s="11" t="str">
        <f t="shared" si="5"/>
        <v>A1A16</v>
      </c>
      <c r="S4" s="11" t="str">
        <f t="shared" si="5"/>
        <v>A1A17</v>
      </c>
      <c r="T4" s="11" t="str">
        <f t="shared" ref="T4:AI19" si="6">IF(OR($B4=0,T$3=0),"",_xlfn.CONCAT($B4,VLOOKUP(T$2,$A$4:$B$70,2,0)))</f>
        <v>A1J18-MEP</v>
      </c>
      <c r="U4" s="11" t="str">
        <f t="shared" si="6"/>
        <v>A1E19-MEP</v>
      </c>
      <c r="V4" s="11" t="str">
        <f t="shared" si="6"/>
        <v>A1E20-MEP</v>
      </c>
      <c r="W4" s="11" t="str">
        <f t="shared" si="6"/>
        <v>A1S21-MEP</v>
      </c>
      <c r="X4" s="11" t="str">
        <f t="shared" si="6"/>
        <v/>
      </c>
      <c r="Y4" s="11" t="str">
        <f t="shared" si="6"/>
        <v>A1G23-MEP</v>
      </c>
      <c r="Z4" s="11" t="str">
        <f t="shared" si="6"/>
        <v>A1T24-MEP</v>
      </c>
      <c r="AA4" s="11" t="str">
        <f t="shared" si="6"/>
        <v>A1F25-MEP</v>
      </c>
      <c r="AB4" s="11" t="str">
        <f t="shared" si="6"/>
        <v>A1T26-MEP</v>
      </c>
      <c r="AC4" s="11" t="str">
        <f t="shared" si="6"/>
        <v>A1J27-MEP</v>
      </c>
      <c r="AD4" s="11" t="str">
        <f t="shared" si="6"/>
        <v>A1A28-MEP</v>
      </c>
      <c r="AE4" s="11" t="str">
        <f t="shared" si="6"/>
        <v>A1G29</v>
      </c>
      <c r="AF4" s="11" t="str">
        <f t="shared" si="6"/>
        <v>A1F30</v>
      </c>
      <c r="AG4" s="11" t="str">
        <f t="shared" si="6"/>
        <v>A1R31-MEP</v>
      </c>
      <c r="AH4" s="11" t="str">
        <f t="shared" si="6"/>
        <v>A1M32-B</v>
      </c>
      <c r="AI4" s="11" t="str">
        <f t="shared" si="6"/>
        <v>A1I33-B</v>
      </c>
      <c r="AJ4" s="11" t="str">
        <f t="shared" ref="AJ4:AV19" si="7">IF(OR($B4=0,AJ$3=0),"",_xlfn.CONCAT($B4,VLOOKUP(AJ$2,$A$4:$B$70,2,0)))</f>
        <v>A1M34-B</v>
      </c>
      <c r="AK4" s="11" t="str">
        <f t="shared" si="7"/>
        <v>A1K35-B</v>
      </c>
      <c r="AL4" s="11" t="str">
        <f t="shared" si="7"/>
        <v>A1A36-B</v>
      </c>
      <c r="AM4" s="11" t="str">
        <f t="shared" si="7"/>
        <v>A1M37-B</v>
      </c>
      <c r="AN4" s="11" t="str">
        <f t="shared" si="7"/>
        <v>A1M38-MEP</v>
      </c>
      <c r="AO4" s="11" t="str">
        <f t="shared" si="7"/>
        <v/>
      </c>
      <c r="AP4" s="11" t="str">
        <f t="shared" si="7"/>
        <v>A1A40</v>
      </c>
      <c r="AQ4" s="11" t="str">
        <f t="shared" si="7"/>
        <v>A1H41</v>
      </c>
      <c r="AR4" s="11" t="str">
        <f t="shared" si="7"/>
        <v>A1M42</v>
      </c>
      <c r="AS4" s="11" t="str">
        <f t="shared" si="7"/>
        <v/>
      </c>
      <c r="AT4" s="11" t="str">
        <f t="shared" si="7"/>
        <v/>
      </c>
      <c r="AU4" s="11" t="str">
        <f t="shared" si="7"/>
        <v/>
      </c>
      <c r="AV4" s="11" t="str">
        <f t="shared" si="7"/>
        <v/>
      </c>
    </row>
    <row r="5" spans="1:48" x14ac:dyDescent="0.25">
      <c r="A5" s="13">
        <f t="shared" ref="A5:A45" si="8">A4+1</f>
        <v>2</v>
      </c>
      <c r="B5" s="8" t="str">
        <f>Links!G4</f>
        <v>E2</v>
      </c>
      <c r="C5" s="11" t="str">
        <f t="shared" ref="C5:R20" si="9">IF(OR($B5=0,C$3=0),"",_xlfn.CONCAT($B5,VLOOKUP(C$2,$A$4:$B$70,2,0)))</f>
        <v>E2A1</v>
      </c>
      <c r="D5" s="11" t="str">
        <f t="shared" si="5"/>
        <v>E2E2</v>
      </c>
      <c r="E5" s="11" t="str">
        <f t="shared" si="5"/>
        <v>E2W3</v>
      </c>
      <c r="F5" s="11" t="str">
        <f t="shared" si="5"/>
        <v>E2A4</v>
      </c>
      <c r="G5" s="11" t="str">
        <f t="shared" si="5"/>
        <v>E2I5</v>
      </c>
      <c r="H5" s="11" t="str">
        <f t="shared" si="5"/>
        <v>E2K6</v>
      </c>
      <c r="I5" s="11" t="str">
        <f t="shared" si="5"/>
        <v>E2T7</v>
      </c>
      <c r="J5" s="11" t="str">
        <f t="shared" si="5"/>
        <v>E2F8</v>
      </c>
      <c r="K5" s="11" t="str">
        <f t="shared" si="5"/>
        <v>E2S9</v>
      </c>
      <c r="L5" s="11" t="str">
        <f t="shared" si="5"/>
        <v>E2A10</v>
      </c>
      <c r="M5" s="11" t="str">
        <f t="shared" si="5"/>
        <v>E2G11</v>
      </c>
      <c r="N5" s="11" t="str">
        <f t="shared" si="5"/>
        <v>E2M12</v>
      </c>
      <c r="O5" s="11" t="str">
        <f t="shared" si="5"/>
        <v>E2G13</v>
      </c>
      <c r="P5" s="11" t="str">
        <f t="shared" si="5"/>
        <v>E2H14</v>
      </c>
      <c r="Q5" s="11" t="str">
        <f t="shared" si="5"/>
        <v>E2A15</v>
      </c>
      <c r="R5" s="11" t="str">
        <f t="shared" si="5"/>
        <v>E2A16</v>
      </c>
      <c r="S5" s="11" t="str">
        <f t="shared" si="5"/>
        <v>E2A17</v>
      </c>
      <c r="T5" s="11" t="str">
        <f t="shared" si="6"/>
        <v>E2J18-MEP</v>
      </c>
      <c r="U5" s="11" t="str">
        <f t="shared" si="6"/>
        <v>E2E19-MEP</v>
      </c>
      <c r="V5" s="11" t="str">
        <f t="shared" si="6"/>
        <v>E2E20-MEP</v>
      </c>
      <c r="W5" s="11" t="str">
        <f t="shared" si="6"/>
        <v>E2S21-MEP</v>
      </c>
      <c r="X5" s="11" t="str">
        <f t="shared" si="6"/>
        <v/>
      </c>
      <c r="Y5" s="11" t="str">
        <f t="shared" si="6"/>
        <v>E2G23-MEP</v>
      </c>
      <c r="Z5" s="11" t="str">
        <f t="shared" si="6"/>
        <v>E2T24-MEP</v>
      </c>
      <c r="AA5" s="11" t="str">
        <f t="shared" si="6"/>
        <v>E2F25-MEP</v>
      </c>
      <c r="AB5" s="11" t="str">
        <f t="shared" si="6"/>
        <v>E2T26-MEP</v>
      </c>
      <c r="AC5" s="11" t="str">
        <f t="shared" si="6"/>
        <v>E2J27-MEP</v>
      </c>
      <c r="AD5" s="11" t="str">
        <f t="shared" si="6"/>
        <v>E2A28-MEP</v>
      </c>
      <c r="AE5" s="11" t="str">
        <f t="shared" si="6"/>
        <v>E2G29</v>
      </c>
      <c r="AF5" s="11" t="str">
        <f t="shared" si="6"/>
        <v>E2F30</v>
      </c>
      <c r="AG5" s="11" t="str">
        <f t="shared" si="6"/>
        <v>E2R31-MEP</v>
      </c>
      <c r="AH5" s="11" t="str">
        <f t="shared" si="6"/>
        <v>E2M32-B</v>
      </c>
      <c r="AI5" s="11" t="str">
        <f t="shared" si="6"/>
        <v>E2I33-B</v>
      </c>
      <c r="AJ5" s="11" t="str">
        <f t="shared" si="7"/>
        <v>E2M34-B</v>
      </c>
      <c r="AK5" s="11" t="str">
        <f t="shared" si="7"/>
        <v>E2K35-B</v>
      </c>
      <c r="AL5" s="11" t="str">
        <f t="shared" si="7"/>
        <v>E2A36-B</v>
      </c>
      <c r="AM5" s="11" t="str">
        <f t="shared" si="7"/>
        <v>E2M37-B</v>
      </c>
      <c r="AN5" s="11" t="str">
        <f t="shared" si="7"/>
        <v>E2M38-MEP</v>
      </c>
      <c r="AO5" s="11" t="str">
        <f t="shared" si="7"/>
        <v/>
      </c>
      <c r="AP5" s="11" t="str">
        <f t="shared" si="7"/>
        <v>E2A40</v>
      </c>
      <c r="AQ5" s="11" t="str">
        <f t="shared" si="7"/>
        <v>E2H41</v>
      </c>
      <c r="AR5" s="11" t="str">
        <f t="shared" si="7"/>
        <v>E2M42</v>
      </c>
      <c r="AS5" s="11" t="str">
        <f t="shared" si="7"/>
        <v/>
      </c>
      <c r="AT5" s="11" t="str">
        <f t="shared" si="7"/>
        <v/>
      </c>
      <c r="AU5" s="11" t="str">
        <f t="shared" si="7"/>
        <v/>
      </c>
      <c r="AV5" s="11" t="str">
        <f t="shared" si="7"/>
        <v/>
      </c>
    </row>
    <row r="6" spans="1:48" x14ac:dyDescent="0.25">
      <c r="A6" s="13">
        <f t="shared" si="8"/>
        <v>3</v>
      </c>
      <c r="B6" s="8" t="str">
        <f>Links!G5</f>
        <v>W3</v>
      </c>
      <c r="C6" s="11" t="str">
        <f t="shared" si="9"/>
        <v>W3A1</v>
      </c>
      <c r="D6" s="11" t="str">
        <f t="shared" si="5"/>
        <v>W3E2</v>
      </c>
      <c r="E6" s="11" t="str">
        <f t="shared" si="5"/>
        <v>W3W3</v>
      </c>
      <c r="F6" s="11" t="str">
        <f t="shared" si="5"/>
        <v>W3A4</v>
      </c>
      <c r="G6" s="11" t="str">
        <f t="shared" si="5"/>
        <v>W3I5</v>
      </c>
      <c r="H6" s="11" t="str">
        <f t="shared" si="5"/>
        <v>W3K6</v>
      </c>
      <c r="I6" s="11" t="str">
        <f t="shared" si="5"/>
        <v>W3T7</v>
      </c>
      <c r="J6" s="11" t="str">
        <f t="shared" si="5"/>
        <v>W3F8</v>
      </c>
      <c r="K6" s="11" t="str">
        <f t="shared" si="5"/>
        <v>W3S9</v>
      </c>
      <c r="L6" s="11" t="str">
        <f t="shared" si="5"/>
        <v>W3A10</v>
      </c>
      <c r="M6" s="11" t="str">
        <f t="shared" si="5"/>
        <v>W3G11</v>
      </c>
      <c r="N6" s="11" t="str">
        <f t="shared" si="5"/>
        <v>W3M12</v>
      </c>
      <c r="O6" s="11" t="str">
        <f t="shared" si="5"/>
        <v>W3G13</v>
      </c>
      <c r="P6" s="11" t="str">
        <f t="shared" si="5"/>
        <v>W3H14</v>
      </c>
      <c r="Q6" s="11" t="str">
        <f t="shared" si="5"/>
        <v>W3A15</v>
      </c>
      <c r="R6" s="11" t="str">
        <f t="shared" si="5"/>
        <v>W3A16</v>
      </c>
      <c r="S6" s="11" t="str">
        <f t="shared" si="5"/>
        <v>W3A17</v>
      </c>
      <c r="T6" s="11" t="str">
        <f t="shared" si="6"/>
        <v>W3J18-MEP</v>
      </c>
      <c r="U6" s="11" t="str">
        <f t="shared" si="6"/>
        <v>W3E19-MEP</v>
      </c>
      <c r="V6" s="11" t="str">
        <f t="shared" si="6"/>
        <v>W3E20-MEP</v>
      </c>
      <c r="W6" s="11" t="str">
        <f t="shared" si="6"/>
        <v>W3S21-MEP</v>
      </c>
      <c r="X6" s="11" t="str">
        <f t="shared" si="6"/>
        <v/>
      </c>
      <c r="Y6" s="11" t="str">
        <f t="shared" si="6"/>
        <v>W3G23-MEP</v>
      </c>
      <c r="Z6" s="11" t="str">
        <f t="shared" si="6"/>
        <v>W3T24-MEP</v>
      </c>
      <c r="AA6" s="11" t="str">
        <f t="shared" si="6"/>
        <v>W3F25-MEP</v>
      </c>
      <c r="AB6" s="11" t="str">
        <f t="shared" si="6"/>
        <v>W3T26-MEP</v>
      </c>
      <c r="AC6" s="11" t="str">
        <f t="shared" si="6"/>
        <v>W3J27-MEP</v>
      </c>
      <c r="AD6" s="11" t="str">
        <f t="shared" si="6"/>
        <v>W3A28-MEP</v>
      </c>
      <c r="AE6" s="11" t="str">
        <f t="shared" si="6"/>
        <v>W3G29</v>
      </c>
      <c r="AF6" s="11" t="str">
        <f t="shared" si="6"/>
        <v>W3F30</v>
      </c>
      <c r="AG6" s="11" t="str">
        <f t="shared" si="6"/>
        <v>W3R31-MEP</v>
      </c>
      <c r="AH6" s="11" t="str">
        <f t="shared" si="6"/>
        <v>W3M32-B</v>
      </c>
      <c r="AI6" s="11" t="str">
        <f t="shared" si="6"/>
        <v>W3I33-B</v>
      </c>
      <c r="AJ6" s="11" t="str">
        <f t="shared" si="7"/>
        <v>W3M34-B</v>
      </c>
      <c r="AK6" s="11" t="str">
        <f t="shared" si="7"/>
        <v>W3K35-B</v>
      </c>
      <c r="AL6" s="11" t="str">
        <f t="shared" si="7"/>
        <v>W3A36-B</v>
      </c>
      <c r="AM6" s="11" t="str">
        <f t="shared" si="7"/>
        <v>W3M37-B</v>
      </c>
      <c r="AN6" s="11" t="str">
        <f t="shared" si="7"/>
        <v>W3M38-MEP</v>
      </c>
      <c r="AO6" s="11" t="str">
        <f t="shared" si="7"/>
        <v/>
      </c>
      <c r="AP6" s="11" t="str">
        <f t="shared" si="7"/>
        <v>W3A40</v>
      </c>
      <c r="AQ6" s="11" t="str">
        <f t="shared" si="7"/>
        <v>W3H41</v>
      </c>
      <c r="AR6" s="11" t="str">
        <f t="shared" si="7"/>
        <v>W3M42</v>
      </c>
      <c r="AS6" s="11" t="str">
        <f t="shared" si="7"/>
        <v/>
      </c>
      <c r="AT6" s="11" t="str">
        <f t="shared" si="7"/>
        <v/>
      </c>
      <c r="AU6" s="11" t="str">
        <f t="shared" si="7"/>
        <v/>
      </c>
      <c r="AV6" s="11" t="str">
        <f t="shared" si="7"/>
        <v/>
      </c>
    </row>
    <row r="7" spans="1:48" x14ac:dyDescent="0.25">
      <c r="A7" s="13">
        <f t="shared" si="8"/>
        <v>4</v>
      </c>
      <c r="B7" s="8" t="str">
        <f>Links!G6</f>
        <v>A4</v>
      </c>
      <c r="C7" s="11" t="str">
        <f t="shared" si="9"/>
        <v>A4A1</v>
      </c>
      <c r="D7" s="11" t="str">
        <f t="shared" si="5"/>
        <v>A4E2</v>
      </c>
      <c r="E7" s="11" t="str">
        <f t="shared" si="5"/>
        <v>A4W3</v>
      </c>
      <c r="F7" s="11" t="str">
        <f t="shared" si="5"/>
        <v>A4A4</v>
      </c>
      <c r="G7" s="11" t="str">
        <f t="shared" si="5"/>
        <v>A4I5</v>
      </c>
      <c r="H7" s="11" t="str">
        <f t="shared" si="5"/>
        <v>A4K6</v>
      </c>
      <c r="I7" s="11" t="str">
        <f t="shared" si="5"/>
        <v>A4T7</v>
      </c>
      <c r="J7" s="11" t="str">
        <f t="shared" si="5"/>
        <v>A4F8</v>
      </c>
      <c r="K7" s="11" t="str">
        <f t="shared" si="5"/>
        <v>A4S9</v>
      </c>
      <c r="L7" s="11" t="str">
        <f t="shared" si="5"/>
        <v>A4A10</v>
      </c>
      <c r="M7" s="11" t="str">
        <f t="shared" si="5"/>
        <v>A4G11</v>
      </c>
      <c r="N7" s="11" t="str">
        <f t="shared" si="5"/>
        <v>A4M12</v>
      </c>
      <c r="O7" s="11" t="str">
        <f t="shared" si="5"/>
        <v>A4G13</v>
      </c>
      <c r="P7" s="11" t="str">
        <f t="shared" si="5"/>
        <v>A4H14</v>
      </c>
      <c r="Q7" s="11" t="str">
        <f t="shared" si="5"/>
        <v>A4A15</v>
      </c>
      <c r="R7" s="11" t="str">
        <f t="shared" si="5"/>
        <v>A4A16</v>
      </c>
      <c r="S7" s="11" t="str">
        <f t="shared" si="5"/>
        <v>A4A17</v>
      </c>
      <c r="T7" s="11" t="str">
        <f t="shared" si="6"/>
        <v>A4J18-MEP</v>
      </c>
      <c r="U7" s="11" t="str">
        <f t="shared" si="6"/>
        <v>A4E19-MEP</v>
      </c>
      <c r="V7" s="11" t="str">
        <f t="shared" si="6"/>
        <v>A4E20-MEP</v>
      </c>
      <c r="W7" s="11" t="str">
        <f t="shared" si="6"/>
        <v>A4S21-MEP</v>
      </c>
      <c r="X7" s="11" t="str">
        <f t="shared" si="6"/>
        <v/>
      </c>
      <c r="Y7" s="11" t="str">
        <f t="shared" si="6"/>
        <v>A4G23-MEP</v>
      </c>
      <c r="Z7" s="11" t="str">
        <f t="shared" si="6"/>
        <v>A4T24-MEP</v>
      </c>
      <c r="AA7" s="11" t="str">
        <f t="shared" si="6"/>
        <v>A4F25-MEP</v>
      </c>
      <c r="AB7" s="11" t="str">
        <f t="shared" si="6"/>
        <v>A4T26-MEP</v>
      </c>
      <c r="AC7" s="11" t="str">
        <f t="shared" si="6"/>
        <v>A4J27-MEP</v>
      </c>
      <c r="AD7" s="11" t="str">
        <f t="shared" si="6"/>
        <v>A4A28-MEP</v>
      </c>
      <c r="AE7" s="11" t="str">
        <f t="shared" si="6"/>
        <v>A4G29</v>
      </c>
      <c r="AF7" s="11" t="str">
        <f t="shared" si="6"/>
        <v>A4F30</v>
      </c>
      <c r="AG7" s="11" t="str">
        <f t="shared" si="6"/>
        <v>A4R31-MEP</v>
      </c>
      <c r="AH7" s="11" t="str">
        <f t="shared" si="6"/>
        <v>A4M32-B</v>
      </c>
      <c r="AI7" s="11" t="str">
        <f t="shared" si="6"/>
        <v>A4I33-B</v>
      </c>
      <c r="AJ7" s="11" t="str">
        <f t="shared" si="7"/>
        <v>A4M34-B</v>
      </c>
      <c r="AK7" s="11" t="str">
        <f t="shared" si="7"/>
        <v>A4K35-B</v>
      </c>
      <c r="AL7" s="11" t="str">
        <f t="shared" si="7"/>
        <v>A4A36-B</v>
      </c>
      <c r="AM7" s="11" t="str">
        <f t="shared" si="7"/>
        <v>A4M37-B</v>
      </c>
      <c r="AN7" s="11" t="str">
        <f t="shared" si="7"/>
        <v>A4M38-MEP</v>
      </c>
      <c r="AO7" s="11" t="str">
        <f t="shared" si="7"/>
        <v/>
      </c>
      <c r="AP7" s="11" t="str">
        <f t="shared" si="7"/>
        <v>A4A40</v>
      </c>
      <c r="AQ7" s="11" t="str">
        <f t="shared" si="7"/>
        <v>A4H41</v>
      </c>
      <c r="AR7" s="11" t="str">
        <f t="shared" si="7"/>
        <v>A4M42</v>
      </c>
      <c r="AS7" s="11" t="str">
        <f t="shared" si="7"/>
        <v/>
      </c>
      <c r="AT7" s="11" t="str">
        <f t="shared" si="7"/>
        <v/>
      </c>
      <c r="AU7" s="11" t="str">
        <f t="shared" si="7"/>
        <v/>
      </c>
      <c r="AV7" s="11" t="str">
        <f t="shared" si="7"/>
        <v/>
      </c>
    </row>
    <row r="8" spans="1:48" x14ac:dyDescent="0.25">
      <c r="A8" s="13">
        <f t="shared" si="8"/>
        <v>5</v>
      </c>
      <c r="B8" s="8" t="str">
        <f>Links!G7</f>
        <v>I5</v>
      </c>
      <c r="C8" s="11" t="str">
        <f t="shared" si="9"/>
        <v>I5A1</v>
      </c>
      <c r="D8" s="11" t="str">
        <f t="shared" si="5"/>
        <v>I5E2</v>
      </c>
      <c r="E8" s="11" t="str">
        <f t="shared" si="5"/>
        <v>I5W3</v>
      </c>
      <c r="F8" s="11" t="str">
        <f t="shared" si="5"/>
        <v>I5A4</v>
      </c>
      <c r="G8" s="11" t="str">
        <f t="shared" si="5"/>
        <v>I5I5</v>
      </c>
      <c r="H8" s="11" t="str">
        <f t="shared" si="5"/>
        <v>I5K6</v>
      </c>
      <c r="I8" s="11" t="str">
        <f t="shared" si="5"/>
        <v>I5T7</v>
      </c>
      <c r="J8" s="11" t="str">
        <f t="shared" si="5"/>
        <v>I5F8</v>
      </c>
      <c r="K8" s="11" t="str">
        <f t="shared" si="5"/>
        <v>I5S9</v>
      </c>
      <c r="L8" s="11" t="str">
        <f t="shared" si="5"/>
        <v>I5A10</v>
      </c>
      <c r="M8" s="11" t="str">
        <f t="shared" si="5"/>
        <v>I5G11</v>
      </c>
      <c r="N8" s="11" t="str">
        <f t="shared" si="5"/>
        <v>I5M12</v>
      </c>
      <c r="O8" s="11" t="str">
        <f t="shared" si="5"/>
        <v>I5G13</v>
      </c>
      <c r="P8" s="11" t="str">
        <f t="shared" si="5"/>
        <v>I5H14</v>
      </c>
      <c r="Q8" s="11" t="str">
        <f t="shared" si="5"/>
        <v>I5A15</v>
      </c>
      <c r="R8" s="11" t="str">
        <f t="shared" si="5"/>
        <v>I5A16</v>
      </c>
      <c r="S8" s="11" t="str">
        <f t="shared" si="5"/>
        <v>I5A17</v>
      </c>
      <c r="T8" s="11" t="str">
        <f t="shared" si="6"/>
        <v>I5J18-MEP</v>
      </c>
      <c r="U8" s="11" t="str">
        <f t="shared" si="6"/>
        <v>I5E19-MEP</v>
      </c>
      <c r="V8" s="11" t="str">
        <f t="shared" si="6"/>
        <v>I5E20-MEP</v>
      </c>
      <c r="W8" s="11" t="str">
        <f t="shared" si="6"/>
        <v>I5S21-MEP</v>
      </c>
      <c r="X8" s="11" t="str">
        <f t="shared" si="6"/>
        <v/>
      </c>
      <c r="Y8" s="11" t="str">
        <f t="shared" si="6"/>
        <v>I5G23-MEP</v>
      </c>
      <c r="Z8" s="11" t="str">
        <f t="shared" si="6"/>
        <v>I5T24-MEP</v>
      </c>
      <c r="AA8" s="11" t="str">
        <f t="shared" si="6"/>
        <v>I5F25-MEP</v>
      </c>
      <c r="AB8" s="11" t="str">
        <f t="shared" si="6"/>
        <v>I5T26-MEP</v>
      </c>
      <c r="AC8" s="11" t="str">
        <f t="shared" si="6"/>
        <v>I5J27-MEP</v>
      </c>
      <c r="AD8" s="11" t="str">
        <f t="shared" si="6"/>
        <v>I5A28-MEP</v>
      </c>
      <c r="AE8" s="11" t="str">
        <f t="shared" si="6"/>
        <v>I5G29</v>
      </c>
      <c r="AF8" s="11" t="str">
        <f t="shared" si="6"/>
        <v>I5F30</v>
      </c>
      <c r="AG8" s="11" t="str">
        <f t="shared" si="6"/>
        <v>I5R31-MEP</v>
      </c>
      <c r="AH8" s="11" t="str">
        <f t="shared" si="6"/>
        <v>I5M32-B</v>
      </c>
      <c r="AI8" s="11" t="str">
        <f t="shared" si="6"/>
        <v>I5I33-B</v>
      </c>
      <c r="AJ8" s="11" t="str">
        <f t="shared" si="7"/>
        <v>I5M34-B</v>
      </c>
      <c r="AK8" s="11" t="str">
        <f t="shared" si="7"/>
        <v>I5K35-B</v>
      </c>
      <c r="AL8" s="11" t="str">
        <f t="shared" si="7"/>
        <v>I5A36-B</v>
      </c>
      <c r="AM8" s="11" t="str">
        <f t="shared" si="7"/>
        <v>I5M37-B</v>
      </c>
      <c r="AN8" s="11" t="str">
        <f t="shared" si="7"/>
        <v>I5M38-MEP</v>
      </c>
      <c r="AO8" s="11" t="str">
        <f t="shared" si="7"/>
        <v/>
      </c>
      <c r="AP8" s="11" t="str">
        <f t="shared" si="7"/>
        <v>I5A40</v>
      </c>
      <c r="AQ8" s="11" t="str">
        <f t="shared" si="7"/>
        <v>I5H41</v>
      </c>
      <c r="AR8" s="11" t="str">
        <f t="shared" si="7"/>
        <v>I5M42</v>
      </c>
      <c r="AS8" s="11" t="str">
        <f t="shared" si="7"/>
        <v/>
      </c>
      <c r="AT8" s="11" t="str">
        <f t="shared" si="7"/>
        <v/>
      </c>
      <c r="AU8" s="11" t="str">
        <f t="shared" si="7"/>
        <v/>
      </c>
      <c r="AV8" s="11" t="str">
        <f t="shared" si="7"/>
        <v/>
      </c>
    </row>
    <row r="9" spans="1:48" x14ac:dyDescent="0.25">
      <c r="A9" s="13">
        <f t="shared" si="8"/>
        <v>6</v>
      </c>
      <c r="B9" s="8" t="str">
        <f>Links!G8</f>
        <v>K6</v>
      </c>
      <c r="C9" s="11" t="str">
        <f t="shared" si="9"/>
        <v>K6A1</v>
      </c>
      <c r="D9" s="11" t="str">
        <f t="shared" si="5"/>
        <v>K6E2</v>
      </c>
      <c r="E9" s="11" t="str">
        <f t="shared" si="5"/>
        <v>K6W3</v>
      </c>
      <c r="F9" s="11" t="str">
        <f t="shared" si="5"/>
        <v>K6A4</v>
      </c>
      <c r="G9" s="11" t="str">
        <f t="shared" si="5"/>
        <v>K6I5</v>
      </c>
      <c r="H9" s="11" t="str">
        <f t="shared" si="5"/>
        <v>K6K6</v>
      </c>
      <c r="I9" s="11" t="str">
        <f t="shared" si="5"/>
        <v>K6T7</v>
      </c>
      <c r="J9" s="11" t="str">
        <f t="shared" si="5"/>
        <v>K6F8</v>
      </c>
      <c r="K9" s="11" t="str">
        <f t="shared" si="5"/>
        <v>K6S9</v>
      </c>
      <c r="L9" s="11" t="str">
        <f t="shared" si="5"/>
        <v>K6A10</v>
      </c>
      <c r="M9" s="11" t="str">
        <f t="shared" si="5"/>
        <v>K6G11</v>
      </c>
      <c r="N9" s="11" t="str">
        <f t="shared" si="5"/>
        <v>K6M12</v>
      </c>
      <c r="O9" s="11" t="str">
        <f t="shared" si="5"/>
        <v>K6G13</v>
      </c>
      <c r="P9" s="11" t="str">
        <f t="shared" si="5"/>
        <v>K6H14</v>
      </c>
      <c r="Q9" s="11" t="str">
        <f t="shared" si="5"/>
        <v>K6A15</v>
      </c>
      <c r="R9" s="11" t="str">
        <f t="shared" si="5"/>
        <v>K6A16</v>
      </c>
      <c r="S9" s="11" t="str">
        <f t="shared" si="5"/>
        <v>K6A17</v>
      </c>
      <c r="T9" s="11" t="str">
        <f t="shared" si="6"/>
        <v>K6J18-MEP</v>
      </c>
      <c r="U9" s="11" t="str">
        <f t="shared" si="6"/>
        <v>K6E19-MEP</v>
      </c>
      <c r="V9" s="11" t="str">
        <f t="shared" si="6"/>
        <v>K6E20-MEP</v>
      </c>
      <c r="W9" s="11" t="str">
        <f t="shared" si="6"/>
        <v>K6S21-MEP</v>
      </c>
      <c r="X9" s="11" t="str">
        <f t="shared" si="6"/>
        <v/>
      </c>
      <c r="Y9" s="11" t="str">
        <f t="shared" si="6"/>
        <v>K6G23-MEP</v>
      </c>
      <c r="Z9" s="11" t="str">
        <f t="shared" si="6"/>
        <v>K6T24-MEP</v>
      </c>
      <c r="AA9" s="11" t="str">
        <f t="shared" si="6"/>
        <v>K6F25-MEP</v>
      </c>
      <c r="AB9" s="11" t="str">
        <f t="shared" si="6"/>
        <v>K6T26-MEP</v>
      </c>
      <c r="AC9" s="11" t="str">
        <f t="shared" si="6"/>
        <v>K6J27-MEP</v>
      </c>
      <c r="AD9" s="11" t="str">
        <f t="shared" si="6"/>
        <v>K6A28-MEP</v>
      </c>
      <c r="AE9" s="11" t="str">
        <f t="shared" si="6"/>
        <v>K6G29</v>
      </c>
      <c r="AF9" s="11" t="str">
        <f t="shared" si="6"/>
        <v>K6F30</v>
      </c>
      <c r="AG9" s="11" t="str">
        <f t="shared" si="6"/>
        <v>K6R31-MEP</v>
      </c>
      <c r="AH9" s="11" t="str">
        <f t="shared" si="6"/>
        <v>K6M32-B</v>
      </c>
      <c r="AI9" s="11" t="str">
        <f t="shared" si="6"/>
        <v>K6I33-B</v>
      </c>
      <c r="AJ9" s="11" t="str">
        <f t="shared" si="7"/>
        <v>K6M34-B</v>
      </c>
      <c r="AK9" s="11" t="str">
        <f t="shared" si="7"/>
        <v>K6K35-B</v>
      </c>
      <c r="AL9" s="11" t="str">
        <f t="shared" si="7"/>
        <v>K6A36-B</v>
      </c>
      <c r="AM9" s="11" t="str">
        <f t="shared" si="7"/>
        <v>K6M37-B</v>
      </c>
      <c r="AN9" s="11" t="str">
        <f t="shared" si="7"/>
        <v>K6M38-MEP</v>
      </c>
      <c r="AO9" s="11" t="str">
        <f t="shared" si="7"/>
        <v/>
      </c>
      <c r="AP9" s="11" t="str">
        <f t="shared" si="7"/>
        <v>K6A40</v>
      </c>
      <c r="AQ9" s="11" t="str">
        <f t="shared" si="7"/>
        <v>K6H41</v>
      </c>
      <c r="AR9" s="11" t="str">
        <f t="shared" si="7"/>
        <v>K6M42</v>
      </c>
      <c r="AS9" s="11" t="str">
        <f t="shared" si="7"/>
        <v/>
      </c>
      <c r="AT9" s="11" t="str">
        <f t="shared" si="7"/>
        <v/>
      </c>
      <c r="AU9" s="11" t="str">
        <f t="shared" si="7"/>
        <v/>
      </c>
      <c r="AV9" s="11" t="str">
        <f t="shared" si="7"/>
        <v/>
      </c>
    </row>
    <row r="10" spans="1:48" x14ac:dyDescent="0.25">
      <c r="A10" s="13">
        <f t="shared" si="8"/>
        <v>7</v>
      </c>
      <c r="B10" s="8" t="str">
        <f>Links!G9</f>
        <v>T7</v>
      </c>
      <c r="C10" s="11" t="str">
        <f t="shared" si="9"/>
        <v>T7A1</v>
      </c>
      <c r="D10" s="11" t="str">
        <f t="shared" si="5"/>
        <v>T7E2</v>
      </c>
      <c r="E10" s="11" t="str">
        <f t="shared" si="5"/>
        <v>T7W3</v>
      </c>
      <c r="F10" s="11" t="str">
        <f t="shared" si="5"/>
        <v>T7A4</v>
      </c>
      <c r="G10" s="11" t="str">
        <f t="shared" si="5"/>
        <v>T7I5</v>
      </c>
      <c r="H10" s="11" t="str">
        <f t="shared" si="5"/>
        <v>T7K6</v>
      </c>
      <c r="I10" s="11" t="str">
        <f t="shared" si="5"/>
        <v>T7T7</v>
      </c>
      <c r="J10" s="11" t="str">
        <f t="shared" si="5"/>
        <v>T7F8</v>
      </c>
      <c r="K10" s="11" t="str">
        <f t="shared" si="5"/>
        <v>T7S9</v>
      </c>
      <c r="L10" s="11" t="str">
        <f t="shared" si="5"/>
        <v>T7A10</v>
      </c>
      <c r="M10" s="11" t="str">
        <f t="shared" si="5"/>
        <v>T7G11</v>
      </c>
      <c r="N10" s="11" t="str">
        <f t="shared" si="5"/>
        <v>T7M12</v>
      </c>
      <c r="O10" s="11" t="str">
        <f t="shared" si="5"/>
        <v>T7G13</v>
      </c>
      <c r="P10" s="11" t="str">
        <f t="shared" si="5"/>
        <v>T7H14</v>
      </c>
      <c r="Q10" s="11" t="str">
        <f t="shared" si="5"/>
        <v>T7A15</v>
      </c>
      <c r="R10" s="11" t="str">
        <f t="shared" si="5"/>
        <v>T7A16</v>
      </c>
      <c r="S10" s="11" t="str">
        <f t="shared" si="5"/>
        <v>T7A17</v>
      </c>
      <c r="T10" s="11" t="str">
        <f t="shared" si="6"/>
        <v>T7J18-MEP</v>
      </c>
      <c r="U10" s="11" t="str">
        <f t="shared" si="6"/>
        <v>T7E19-MEP</v>
      </c>
      <c r="V10" s="11" t="str">
        <f t="shared" si="6"/>
        <v>T7E20-MEP</v>
      </c>
      <c r="W10" s="11" t="str">
        <f t="shared" si="6"/>
        <v>T7S21-MEP</v>
      </c>
      <c r="X10" s="11" t="str">
        <f t="shared" si="6"/>
        <v/>
      </c>
      <c r="Y10" s="11" t="str">
        <f t="shared" si="6"/>
        <v>T7G23-MEP</v>
      </c>
      <c r="Z10" s="11" t="str">
        <f t="shared" si="6"/>
        <v>T7T24-MEP</v>
      </c>
      <c r="AA10" s="11" t="str">
        <f t="shared" si="6"/>
        <v>T7F25-MEP</v>
      </c>
      <c r="AB10" s="11" t="str">
        <f t="shared" si="6"/>
        <v>T7T26-MEP</v>
      </c>
      <c r="AC10" s="11" t="str">
        <f t="shared" si="6"/>
        <v>T7J27-MEP</v>
      </c>
      <c r="AD10" s="11" t="str">
        <f t="shared" si="6"/>
        <v>T7A28-MEP</v>
      </c>
      <c r="AE10" s="11" t="str">
        <f t="shared" si="6"/>
        <v>T7G29</v>
      </c>
      <c r="AF10" s="11" t="str">
        <f t="shared" si="6"/>
        <v>T7F30</v>
      </c>
      <c r="AG10" s="11" t="str">
        <f t="shared" si="6"/>
        <v>T7R31-MEP</v>
      </c>
      <c r="AH10" s="11" t="str">
        <f t="shared" si="6"/>
        <v>T7M32-B</v>
      </c>
      <c r="AI10" s="11" t="str">
        <f t="shared" si="6"/>
        <v>T7I33-B</v>
      </c>
      <c r="AJ10" s="11" t="str">
        <f t="shared" si="7"/>
        <v>T7M34-B</v>
      </c>
      <c r="AK10" s="11" t="str">
        <f t="shared" si="7"/>
        <v>T7K35-B</v>
      </c>
      <c r="AL10" s="11" t="str">
        <f t="shared" si="7"/>
        <v>T7A36-B</v>
      </c>
      <c r="AM10" s="11" t="str">
        <f t="shared" si="7"/>
        <v>T7M37-B</v>
      </c>
      <c r="AN10" s="11" t="str">
        <f t="shared" si="7"/>
        <v>T7M38-MEP</v>
      </c>
      <c r="AO10" s="11" t="str">
        <f t="shared" si="7"/>
        <v/>
      </c>
      <c r="AP10" s="11" t="str">
        <f t="shared" si="7"/>
        <v>T7A40</v>
      </c>
      <c r="AQ10" s="11" t="str">
        <f t="shared" si="7"/>
        <v>T7H41</v>
      </c>
      <c r="AR10" s="11" t="str">
        <f t="shared" si="7"/>
        <v>T7M42</v>
      </c>
      <c r="AS10" s="11" t="str">
        <f t="shared" si="7"/>
        <v/>
      </c>
      <c r="AT10" s="11" t="str">
        <f t="shared" si="7"/>
        <v/>
      </c>
      <c r="AU10" s="11" t="str">
        <f t="shared" si="7"/>
        <v/>
      </c>
      <c r="AV10" s="11" t="str">
        <f t="shared" si="7"/>
        <v/>
      </c>
    </row>
    <row r="11" spans="1:48" x14ac:dyDescent="0.25">
      <c r="A11" s="13">
        <f t="shared" si="8"/>
        <v>8</v>
      </c>
      <c r="B11" s="8" t="str">
        <f>Links!G10</f>
        <v>F8</v>
      </c>
      <c r="C11" s="11" t="str">
        <f t="shared" si="9"/>
        <v>F8A1</v>
      </c>
      <c r="D11" s="11" t="str">
        <f t="shared" si="5"/>
        <v>F8E2</v>
      </c>
      <c r="E11" s="11" t="str">
        <f t="shared" si="5"/>
        <v>F8W3</v>
      </c>
      <c r="F11" s="11" t="str">
        <f t="shared" si="5"/>
        <v>F8A4</v>
      </c>
      <c r="G11" s="11" t="str">
        <f t="shared" si="5"/>
        <v>F8I5</v>
      </c>
      <c r="H11" s="11" t="str">
        <f t="shared" si="5"/>
        <v>F8K6</v>
      </c>
      <c r="I11" s="11" t="str">
        <f t="shared" si="5"/>
        <v>F8T7</v>
      </c>
      <c r="J11" s="11" t="str">
        <f t="shared" si="5"/>
        <v>F8F8</v>
      </c>
      <c r="K11" s="11" t="str">
        <f t="shared" si="5"/>
        <v>F8S9</v>
      </c>
      <c r="L11" s="11" t="str">
        <f t="shared" si="5"/>
        <v>F8A10</v>
      </c>
      <c r="M11" s="11" t="str">
        <f t="shared" si="5"/>
        <v>F8G11</v>
      </c>
      <c r="N11" s="11" t="str">
        <f t="shared" si="5"/>
        <v>F8M12</v>
      </c>
      <c r="O11" s="11" t="str">
        <f t="shared" si="5"/>
        <v>F8G13</v>
      </c>
      <c r="P11" s="11" t="str">
        <f t="shared" si="5"/>
        <v>F8H14</v>
      </c>
      <c r="Q11" s="11" t="str">
        <f t="shared" si="5"/>
        <v>F8A15</v>
      </c>
      <c r="R11" s="11" t="str">
        <f t="shared" si="5"/>
        <v>F8A16</v>
      </c>
      <c r="S11" s="11" t="str">
        <f t="shared" si="5"/>
        <v>F8A17</v>
      </c>
      <c r="T11" s="11" t="str">
        <f t="shared" si="6"/>
        <v>F8J18-MEP</v>
      </c>
      <c r="U11" s="11" t="str">
        <f t="shared" si="6"/>
        <v>F8E19-MEP</v>
      </c>
      <c r="V11" s="11" t="str">
        <f t="shared" si="6"/>
        <v>F8E20-MEP</v>
      </c>
      <c r="W11" s="11" t="str">
        <f t="shared" si="6"/>
        <v>F8S21-MEP</v>
      </c>
      <c r="X11" s="11" t="str">
        <f t="shared" si="6"/>
        <v/>
      </c>
      <c r="Y11" s="11" t="str">
        <f t="shared" si="6"/>
        <v>F8G23-MEP</v>
      </c>
      <c r="Z11" s="11" t="str">
        <f t="shared" si="6"/>
        <v>F8T24-MEP</v>
      </c>
      <c r="AA11" s="11" t="str">
        <f t="shared" si="6"/>
        <v>F8F25-MEP</v>
      </c>
      <c r="AB11" s="11" t="str">
        <f t="shared" si="6"/>
        <v>F8T26-MEP</v>
      </c>
      <c r="AC11" s="11" t="str">
        <f t="shared" si="6"/>
        <v>F8J27-MEP</v>
      </c>
      <c r="AD11" s="11" t="str">
        <f t="shared" si="6"/>
        <v>F8A28-MEP</v>
      </c>
      <c r="AE11" s="11" t="str">
        <f t="shared" si="6"/>
        <v>F8G29</v>
      </c>
      <c r="AF11" s="11" t="str">
        <f t="shared" si="6"/>
        <v>F8F30</v>
      </c>
      <c r="AG11" s="11" t="str">
        <f t="shared" si="6"/>
        <v>F8R31-MEP</v>
      </c>
      <c r="AH11" s="11" t="str">
        <f t="shared" si="6"/>
        <v>F8M32-B</v>
      </c>
      <c r="AI11" s="11" t="str">
        <f t="shared" si="6"/>
        <v>F8I33-B</v>
      </c>
      <c r="AJ11" s="11" t="str">
        <f t="shared" si="7"/>
        <v>F8M34-B</v>
      </c>
      <c r="AK11" s="11" t="str">
        <f t="shared" si="7"/>
        <v>F8K35-B</v>
      </c>
      <c r="AL11" s="11" t="str">
        <f t="shared" si="7"/>
        <v>F8A36-B</v>
      </c>
      <c r="AM11" s="11" t="str">
        <f t="shared" si="7"/>
        <v>F8M37-B</v>
      </c>
      <c r="AN11" s="11" t="str">
        <f t="shared" si="7"/>
        <v>F8M38-MEP</v>
      </c>
      <c r="AO11" s="11" t="str">
        <f t="shared" si="7"/>
        <v/>
      </c>
      <c r="AP11" s="11" t="str">
        <f t="shared" si="7"/>
        <v>F8A40</v>
      </c>
      <c r="AQ11" s="11" t="str">
        <f t="shared" si="7"/>
        <v>F8H41</v>
      </c>
      <c r="AR11" s="11" t="str">
        <f t="shared" si="7"/>
        <v>F8M42</v>
      </c>
      <c r="AS11" s="11" t="str">
        <f t="shared" si="7"/>
        <v/>
      </c>
      <c r="AT11" s="11" t="str">
        <f t="shared" si="7"/>
        <v/>
      </c>
      <c r="AU11" s="11" t="str">
        <f t="shared" si="7"/>
        <v/>
      </c>
      <c r="AV11" s="11" t="str">
        <f t="shared" si="7"/>
        <v/>
      </c>
    </row>
    <row r="12" spans="1:48" x14ac:dyDescent="0.25">
      <c r="A12" s="13">
        <f t="shared" si="8"/>
        <v>9</v>
      </c>
      <c r="B12" s="8" t="str">
        <f>Links!G11</f>
        <v>S9</v>
      </c>
      <c r="C12" s="11" t="str">
        <f t="shared" si="9"/>
        <v>S9A1</v>
      </c>
      <c r="D12" s="11" t="str">
        <f t="shared" si="5"/>
        <v>S9E2</v>
      </c>
      <c r="E12" s="11" t="str">
        <f t="shared" si="5"/>
        <v>S9W3</v>
      </c>
      <c r="F12" s="11" t="str">
        <f t="shared" si="5"/>
        <v>S9A4</v>
      </c>
      <c r="G12" s="11" t="str">
        <f t="shared" si="5"/>
        <v>S9I5</v>
      </c>
      <c r="H12" s="11" t="str">
        <f t="shared" si="5"/>
        <v>S9K6</v>
      </c>
      <c r="I12" s="11" t="str">
        <f t="shared" si="5"/>
        <v>S9T7</v>
      </c>
      <c r="J12" s="11" t="str">
        <f t="shared" si="5"/>
        <v>S9F8</v>
      </c>
      <c r="K12" s="11" t="str">
        <f t="shared" si="5"/>
        <v>S9S9</v>
      </c>
      <c r="L12" s="11" t="str">
        <f t="shared" si="5"/>
        <v>S9A10</v>
      </c>
      <c r="M12" s="11" t="str">
        <f t="shared" si="5"/>
        <v>S9G11</v>
      </c>
      <c r="N12" s="11" t="str">
        <f t="shared" si="5"/>
        <v>S9M12</v>
      </c>
      <c r="O12" s="11" t="str">
        <f t="shared" si="5"/>
        <v>S9G13</v>
      </c>
      <c r="P12" s="11" t="str">
        <f t="shared" si="5"/>
        <v>S9H14</v>
      </c>
      <c r="Q12" s="11" t="str">
        <f t="shared" si="5"/>
        <v>S9A15</v>
      </c>
      <c r="R12" s="11" t="str">
        <f t="shared" si="5"/>
        <v>S9A16</v>
      </c>
      <c r="S12" s="11" t="str">
        <f t="shared" si="5"/>
        <v>S9A17</v>
      </c>
      <c r="T12" s="11" t="str">
        <f t="shared" si="6"/>
        <v>S9J18-MEP</v>
      </c>
      <c r="U12" s="11" t="str">
        <f t="shared" si="6"/>
        <v>S9E19-MEP</v>
      </c>
      <c r="V12" s="11" t="str">
        <f t="shared" si="6"/>
        <v>S9E20-MEP</v>
      </c>
      <c r="W12" s="11" t="str">
        <f t="shared" si="6"/>
        <v>S9S21-MEP</v>
      </c>
      <c r="X12" s="11" t="str">
        <f t="shared" si="6"/>
        <v/>
      </c>
      <c r="Y12" s="11" t="str">
        <f t="shared" si="6"/>
        <v>S9G23-MEP</v>
      </c>
      <c r="Z12" s="11" t="str">
        <f t="shared" si="6"/>
        <v>S9T24-MEP</v>
      </c>
      <c r="AA12" s="11" t="str">
        <f t="shared" si="6"/>
        <v>S9F25-MEP</v>
      </c>
      <c r="AB12" s="11" t="str">
        <f t="shared" si="6"/>
        <v>S9T26-MEP</v>
      </c>
      <c r="AC12" s="11" t="str">
        <f t="shared" si="6"/>
        <v>S9J27-MEP</v>
      </c>
      <c r="AD12" s="11" t="str">
        <f t="shared" si="6"/>
        <v>S9A28-MEP</v>
      </c>
      <c r="AE12" s="11" t="str">
        <f t="shared" si="6"/>
        <v>S9G29</v>
      </c>
      <c r="AF12" s="11" t="str">
        <f t="shared" si="6"/>
        <v>S9F30</v>
      </c>
      <c r="AG12" s="11" t="str">
        <f t="shared" si="6"/>
        <v>S9R31-MEP</v>
      </c>
      <c r="AH12" s="11" t="str">
        <f t="shared" si="6"/>
        <v>S9M32-B</v>
      </c>
      <c r="AI12" s="11" t="str">
        <f t="shared" si="6"/>
        <v>S9I33-B</v>
      </c>
      <c r="AJ12" s="11" t="str">
        <f t="shared" si="7"/>
        <v>S9M34-B</v>
      </c>
      <c r="AK12" s="11" t="str">
        <f t="shared" si="7"/>
        <v>S9K35-B</v>
      </c>
      <c r="AL12" s="11" t="str">
        <f t="shared" si="7"/>
        <v>S9A36-B</v>
      </c>
      <c r="AM12" s="11" t="str">
        <f t="shared" si="7"/>
        <v>S9M37-B</v>
      </c>
      <c r="AN12" s="11" t="str">
        <f t="shared" si="7"/>
        <v>S9M38-MEP</v>
      </c>
      <c r="AO12" s="11" t="str">
        <f t="shared" si="7"/>
        <v/>
      </c>
      <c r="AP12" s="11" t="str">
        <f t="shared" si="7"/>
        <v>S9A40</v>
      </c>
      <c r="AQ12" s="11" t="str">
        <f t="shared" si="7"/>
        <v>S9H41</v>
      </c>
      <c r="AR12" s="11" t="str">
        <f t="shared" si="7"/>
        <v>S9M42</v>
      </c>
      <c r="AS12" s="11" t="str">
        <f t="shared" si="7"/>
        <v/>
      </c>
      <c r="AT12" s="11" t="str">
        <f t="shared" si="7"/>
        <v/>
      </c>
      <c r="AU12" s="11" t="str">
        <f t="shared" si="7"/>
        <v/>
      </c>
      <c r="AV12" s="11" t="str">
        <f t="shared" si="7"/>
        <v/>
      </c>
    </row>
    <row r="13" spans="1:48" x14ac:dyDescent="0.25">
      <c r="A13" s="13">
        <f t="shared" si="8"/>
        <v>10</v>
      </c>
      <c r="B13" s="8" t="str">
        <f>Links!G12</f>
        <v>A10</v>
      </c>
      <c r="C13" s="11" t="str">
        <f t="shared" si="9"/>
        <v>A10A1</v>
      </c>
      <c r="D13" s="11" t="str">
        <f t="shared" si="5"/>
        <v>A10E2</v>
      </c>
      <c r="E13" s="11" t="str">
        <f t="shared" si="5"/>
        <v>A10W3</v>
      </c>
      <c r="F13" s="11" t="str">
        <f t="shared" si="5"/>
        <v>A10A4</v>
      </c>
      <c r="G13" s="11" t="str">
        <f t="shared" si="5"/>
        <v>A10I5</v>
      </c>
      <c r="H13" s="11" t="str">
        <f t="shared" si="5"/>
        <v>A10K6</v>
      </c>
      <c r="I13" s="11" t="str">
        <f t="shared" si="5"/>
        <v>A10T7</v>
      </c>
      <c r="J13" s="11" t="str">
        <f t="shared" si="5"/>
        <v>A10F8</v>
      </c>
      <c r="K13" s="11" t="str">
        <f t="shared" si="5"/>
        <v>A10S9</v>
      </c>
      <c r="L13" s="11" t="str">
        <f t="shared" si="5"/>
        <v>A10A10</v>
      </c>
      <c r="M13" s="11" t="str">
        <f t="shared" si="5"/>
        <v>A10G11</v>
      </c>
      <c r="N13" s="11" t="str">
        <f t="shared" si="5"/>
        <v>A10M12</v>
      </c>
      <c r="O13" s="11" t="str">
        <f t="shared" si="5"/>
        <v>A10G13</v>
      </c>
      <c r="P13" s="11" t="str">
        <f t="shared" si="5"/>
        <v>A10H14</v>
      </c>
      <c r="Q13" s="11" t="str">
        <f t="shared" si="5"/>
        <v>A10A15</v>
      </c>
      <c r="R13" s="11" t="str">
        <f t="shared" si="5"/>
        <v>A10A16</v>
      </c>
      <c r="S13" s="11" t="str">
        <f t="shared" si="5"/>
        <v>A10A17</v>
      </c>
      <c r="T13" s="11" t="str">
        <f t="shared" si="6"/>
        <v>A10J18-MEP</v>
      </c>
      <c r="U13" s="11" t="str">
        <f t="shared" si="6"/>
        <v>A10E19-MEP</v>
      </c>
      <c r="V13" s="11" t="str">
        <f t="shared" si="6"/>
        <v>A10E20-MEP</v>
      </c>
      <c r="W13" s="11" t="str">
        <f t="shared" si="6"/>
        <v>A10S21-MEP</v>
      </c>
      <c r="X13" s="11" t="str">
        <f t="shared" si="6"/>
        <v/>
      </c>
      <c r="Y13" s="11" t="str">
        <f t="shared" si="6"/>
        <v>A10G23-MEP</v>
      </c>
      <c r="Z13" s="11" t="str">
        <f t="shared" si="6"/>
        <v>A10T24-MEP</v>
      </c>
      <c r="AA13" s="11" t="str">
        <f t="shared" si="6"/>
        <v>A10F25-MEP</v>
      </c>
      <c r="AB13" s="11" t="str">
        <f t="shared" si="6"/>
        <v>A10T26-MEP</v>
      </c>
      <c r="AC13" s="11" t="str">
        <f t="shared" si="6"/>
        <v>A10J27-MEP</v>
      </c>
      <c r="AD13" s="11" t="str">
        <f t="shared" si="6"/>
        <v>A10A28-MEP</v>
      </c>
      <c r="AE13" s="11" t="str">
        <f t="shared" si="6"/>
        <v>A10G29</v>
      </c>
      <c r="AF13" s="11" t="str">
        <f t="shared" si="6"/>
        <v>A10F30</v>
      </c>
      <c r="AG13" s="11" t="str">
        <f t="shared" si="6"/>
        <v>A10R31-MEP</v>
      </c>
      <c r="AH13" s="11" t="str">
        <f t="shared" si="6"/>
        <v>A10M32-B</v>
      </c>
      <c r="AI13" s="11" t="str">
        <f t="shared" si="6"/>
        <v>A10I33-B</v>
      </c>
      <c r="AJ13" s="11" t="str">
        <f t="shared" si="7"/>
        <v>A10M34-B</v>
      </c>
      <c r="AK13" s="11" t="str">
        <f t="shared" si="7"/>
        <v>A10K35-B</v>
      </c>
      <c r="AL13" s="11" t="str">
        <f t="shared" si="7"/>
        <v>A10A36-B</v>
      </c>
      <c r="AM13" s="11" t="str">
        <f t="shared" si="7"/>
        <v>A10M37-B</v>
      </c>
      <c r="AN13" s="11" t="str">
        <f t="shared" si="7"/>
        <v>A10M38-MEP</v>
      </c>
      <c r="AO13" s="11" t="str">
        <f t="shared" si="7"/>
        <v/>
      </c>
      <c r="AP13" s="11" t="str">
        <f t="shared" si="7"/>
        <v>A10A40</v>
      </c>
      <c r="AQ13" s="11" t="str">
        <f t="shared" si="7"/>
        <v>A10H41</v>
      </c>
      <c r="AR13" s="11" t="str">
        <f t="shared" si="7"/>
        <v>A10M42</v>
      </c>
      <c r="AS13" s="11" t="str">
        <f t="shared" si="7"/>
        <v/>
      </c>
      <c r="AT13" s="11" t="str">
        <f t="shared" si="7"/>
        <v/>
      </c>
      <c r="AU13" s="11" t="str">
        <f t="shared" si="7"/>
        <v/>
      </c>
      <c r="AV13" s="11" t="str">
        <f t="shared" si="7"/>
        <v/>
      </c>
    </row>
    <row r="14" spans="1:48" x14ac:dyDescent="0.25">
      <c r="A14" s="13">
        <f t="shared" si="8"/>
        <v>11</v>
      </c>
      <c r="B14" s="8" t="str">
        <f>Links!G13</f>
        <v>G11</v>
      </c>
      <c r="C14" s="11" t="str">
        <f t="shared" si="9"/>
        <v>G11A1</v>
      </c>
      <c r="D14" s="11" t="str">
        <f t="shared" si="5"/>
        <v>G11E2</v>
      </c>
      <c r="E14" s="11" t="str">
        <f t="shared" si="5"/>
        <v>G11W3</v>
      </c>
      <c r="F14" s="11" t="str">
        <f t="shared" si="5"/>
        <v>G11A4</v>
      </c>
      <c r="G14" s="11" t="str">
        <f t="shared" si="5"/>
        <v>G11I5</v>
      </c>
      <c r="H14" s="11" t="str">
        <f t="shared" si="5"/>
        <v>G11K6</v>
      </c>
      <c r="I14" s="11" t="str">
        <f t="shared" si="5"/>
        <v>G11T7</v>
      </c>
      <c r="J14" s="11" t="str">
        <f t="shared" si="5"/>
        <v>G11F8</v>
      </c>
      <c r="K14" s="11" t="str">
        <f t="shared" si="5"/>
        <v>G11S9</v>
      </c>
      <c r="L14" s="11" t="str">
        <f t="shared" si="5"/>
        <v>G11A10</v>
      </c>
      <c r="M14" s="11" t="str">
        <f t="shared" si="5"/>
        <v>G11G11</v>
      </c>
      <c r="N14" s="11" t="str">
        <f t="shared" si="5"/>
        <v>G11M12</v>
      </c>
      <c r="O14" s="11" t="str">
        <f t="shared" si="5"/>
        <v>G11G13</v>
      </c>
      <c r="P14" s="11" t="str">
        <f t="shared" si="5"/>
        <v>G11H14</v>
      </c>
      <c r="Q14" s="11" t="str">
        <f t="shared" si="5"/>
        <v>G11A15</v>
      </c>
      <c r="R14" s="11" t="str">
        <f t="shared" si="5"/>
        <v>G11A16</v>
      </c>
      <c r="S14" s="11" t="str">
        <f t="shared" si="5"/>
        <v>G11A17</v>
      </c>
      <c r="T14" s="11" t="str">
        <f t="shared" si="6"/>
        <v>G11J18-MEP</v>
      </c>
      <c r="U14" s="11" t="str">
        <f t="shared" si="6"/>
        <v>G11E19-MEP</v>
      </c>
      <c r="V14" s="11" t="str">
        <f t="shared" si="6"/>
        <v>G11E20-MEP</v>
      </c>
      <c r="W14" s="11" t="str">
        <f t="shared" si="6"/>
        <v>G11S21-MEP</v>
      </c>
      <c r="X14" s="11" t="str">
        <f t="shared" si="6"/>
        <v/>
      </c>
      <c r="Y14" s="11" t="str">
        <f t="shared" si="6"/>
        <v>G11G23-MEP</v>
      </c>
      <c r="Z14" s="11" t="str">
        <f t="shared" si="6"/>
        <v>G11T24-MEP</v>
      </c>
      <c r="AA14" s="11" t="str">
        <f t="shared" si="6"/>
        <v>G11F25-MEP</v>
      </c>
      <c r="AB14" s="11" t="str">
        <f t="shared" si="6"/>
        <v>G11T26-MEP</v>
      </c>
      <c r="AC14" s="11" t="str">
        <f t="shared" si="6"/>
        <v>G11J27-MEP</v>
      </c>
      <c r="AD14" s="11" t="str">
        <f t="shared" si="6"/>
        <v>G11A28-MEP</v>
      </c>
      <c r="AE14" s="11" t="str">
        <f t="shared" si="6"/>
        <v>G11G29</v>
      </c>
      <c r="AF14" s="11" t="str">
        <f t="shared" si="6"/>
        <v>G11F30</v>
      </c>
      <c r="AG14" s="11" t="str">
        <f t="shared" si="6"/>
        <v>G11R31-MEP</v>
      </c>
      <c r="AH14" s="11" t="str">
        <f t="shared" si="6"/>
        <v>G11M32-B</v>
      </c>
      <c r="AI14" s="11" t="str">
        <f t="shared" si="6"/>
        <v>G11I33-B</v>
      </c>
      <c r="AJ14" s="11" t="str">
        <f t="shared" si="7"/>
        <v>G11M34-B</v>
      </c>
      <c r="AK14" s="11" t="str">
        <f t="shared" si="7"/>
        <v>G11K35-B</v>
      </c>
      <c r="AL14" s="11" t="str">
        <f t="shared" si="7"/>
        <v>G11A36-B</v>
      </c>
      <c r="AM14" s="11" t="str">
        <f t="shared" si="7"/>
        <v>G11M37-B</v>
      </c>
      <c r="AN14" s="11" t="str">
        <f t="shared" si="7"/>
        <v>G11M38-MEP</v>
      </c>
      <c r="AO14" s="11" t="str">
        <f t="shared" si="7"/>
        <v/>
      </c>
      <c r="AP14" s="11" t="str">
        <f t="shared" si="7"/>
        <v>G11A40</v>
      </c>
      <c r="AQ14" s="11" t="str">
        <f t="shared" si="7"/>
        <v>G11H41</v>
      </c>
      <c r="AR14" s="11" t="str">
        <f t="shared" si="7"/>
        <v>G11M42</v>
      </c>
      <c r="AS14" s="11" t="str">
        <f t="shared" si="7"/>
        <v/>
      </c>
      <c r="AT14" s="11" t="str">
        <f t="shared" si="7"/>
        <v/>
      </c>
      <c r="AU14" s="11" t="str">
        <f t="shared" si="7"/>
        <v/>
      </c>
      <c r="AV14" s="11" t="str">
        <f t="shared" si="7"/>
        <v/>
      </c>
    </row>
    <row r="15" spans="1:48" x14ac:dyDescent="0.25">
      <c r="A15" s="13">
        <f t="shared" si="8"/>
        <v>12</v>
      </c>
      <c r="B15" s="8" t="str">
        <f>Links!G14</f>
        <v>M12</v>
      </c>
      <c r="C15" s="11" t="str">
        <f t="shared" si="9"/>
        <v>M12A1</v>
      </c>
      <c r="D15" s="11" t="str">
        <f t="shared" si="5"/>
        <v>M12E2</v>
      </c>
      <c r="E15" s="11" t="str">
        <f t="shared" si="5"/>
        <v>M12W3</v>
      </c>
      <c r="F15" s="11" t="str">
        <f t="shared" si="5"/>
        <v>M12A4</v>
      </c>
      <c r="G15" s="11" t="str">
        <f t="shared" si="5"/>
        <v>M12I5</v>
      </c>
      <c r="H15" s="11" t="str">
        <f t="shared" si="5"/>
        <v>M12K6</v>
      </c>
      <c r="I15" s="11" t="str">
        <f t="shared" si="5"/>
        <v>M12T7</v>
      </c>
      <c r="J15" s="11" t="str">
        <f t="shared" si="5"/>
        <v>M12F8</v>
      </c>
      <c r="K15" s="11" t="str">
        <f t="shared" si="5"/>
        <v>M12S9</v>
      </c>
      <c r="L15" s="11" t="str">
        <f t="shared" si="5"/>
        <v>M12A10</v>
      </c>
      <c r="M15" s="11" t="str">
        <f t="shared" si="5"/>
        <v>M12G11</v>
      </c>
      <c r="N15" s="11" t="str">
        <f t="shared" si="5"/>
        <v>M12M12</v>
      </c>
      <c r="O15" s="11" t="str">
        <f t="shared" si="5"/>
        <v>M12G13</v>
      </c>
      <c r="P15" s="11" t="str">
        <f t="shared" si="5"/>
        <v>M12H14</v>
      </c>
      <c r="Q15" s="11" t="str">
        <f t="shared" si="5"/>
        <v>M12A15</v>
      </c>
      <c r="R15" s="11" t="str">
        <f t="shared" si="5"/>
        <v>M12A16</v>
      </c>
      <c r="S15" s="11" t="str">
        <f t="shared" si="5"/>
        <v>M12A17</v>
      </c>
      <c r="T15" s="11" t="str">
        <f t="shared" si="6"/>
        <v>M12J18-MEP</v>
      </c>
      <c r="U15" s="11" t="str">
        <f t="shared" si="6"/>
        <v>M12E19-MEP</v>
      </c>
      <c r="V15" s="11" t="str">
        <f t="shared" si="6"/>
        <v>M12E20-MEP</v>
      </c>
      <c r="W15" s="11" t="str">
        <f t="shared" si="6"/>
        <v>M12S21-MEP</v>
      </c>
      <c r="X15" s="11" t="str">
        <f t="shared" si="6"/>
        <v/>
      </c>
      <c r="Y15" s="11" t="str">
        <f t="shared" si="6"/>
        <v>M12G23-MEP</v>
      </c>
      <c r="Z15" s="11" t="str">
        <f t="shared" si="6"/>
        <v>M12T24-MEP</v>
      </c>
      <c r="AA15" s="11" t="str">
        <f t="shared" si="6"/>
        <v>M12F25-MEP</v>
      </c>
      <c r="AB15" s="11" t="str">
        <f t="shared" si="6"/>
        <v>M12T26-MEP</v>
      </c>
      <c r="AC15" s="11" t="str">
        <f t="shared" si="6"/>
        <v>M12J27-MEP</v>
      </c>
      <c r="AD15" s="11" t="str">
        <f t="shared" si="6"/>
        <v>M12A28-MEP</v>
      </c>
      <c r="AE15" s="11" t="str">
        <f t="shared" si="6"/>
        <v>M12G29</v>
      </c>
      <c r="AF15" s="11" t="str">
        <f t="shared" si="6"/>
        <v>M12F30</v>
      </c>
      <c r="AG15" s="11" t="str">
        <f t="shared" si="6"/>
        <v>M12R31-MEP</v>
      </c>
      <c r="AH15" s="11" t="str">
        <f t="shared" si="6"/>
        <v>M12M32-B</v>
      </c>
      <c r="AI15" s="11" t="str">
        <f t="shared" si="6"/>
        <v>M12I33-B</v>
      </c>
      <c r="AJ15" s="11" t="str">
        <f t="shared" si="7"/>
        <v>M12M34-B</v>
      </c>
      <c r="AK15" s="11" t="str">
        <f t="shared" si="7"/>
        <v>M12K35-B</v>
      </c>
      <c r="AL15" s="11" t="str">
        <f t="shared" si="7"/>
        <v>M12A36-B</v>
      </c>
      <c r="AM15" s="11" t="str">
        <f t="shared" si="7"/>
        <v>M12M37-B</v>
      </c>
      <c r="AN15" s="11" t="str">
        <f t="shared" si="7"/>
        <v>M12M38-MEP</v>
      </c>
      <c r="AO15" s="11" t="str">
        <f t="shared" si="7"/>
        <v/>
      </c>
      <c r="AP15" s="11" t="str">
        <f t="shared" si="7"/>
        <v>M12A40</v>
      </c>
      <c r="AQ15" s="11" t="str">
        <f t="shared" si="7"/>
        <v>M12H41</v>
      </c>
      <c r="AR15" s="11" t="str">
        <f t="shared" si="7"/>
        <v>M12M42</v>
      </c>
      <c r="AS15" s="11" t="str">
        <f t="shared" si="7"/>
        <v/>
      </c>
      <c r="AT15" s="11" t="str">
        <f t="shared" si="7"/>
        <v/>
      </c>
      <c r="AU15" s="11" t="str">
        <f t="shared" si="7"/>
        <v/>
      </c>
      <c r="AV15" s="11" t="str">
        <f t="shared" si="7"/>
        <v/>
      </c>
    </row>
    <row r="16" spans="1:48" x14ac:dyDescent="0.25">
      <c r="A16" s="13">
        <f t="shared" si="8"/>
        <v>13</v>
      </c>
      <c r="B16" s="8" t="str">
        <f>Links!G15</f>
        <v>G13</v>
      </c>
      <c r="C16" s="11" t="str">
        <f t="shared" si="9"/>
        <v>G13A1</v>
      </c>
      <c r="D16" s="11" t="str">
        <f t="shared" si="5"/>
        <v>G13E2</v>
      </c>
      <c r="E16" s="11" t="str">
        <f t="shared" si="5"/>
        <v>G13W3</v>
      </c>
      <c r="F16" s="11" t="str">
        <f t="shared" si="5"/>
        <v>G13A4</v>
      </c>
      <c r="G16" s="11" t="str">
        <f t="shared" si="5"/>
        <v>G13I5</v>
      </c>
      <c r="H16" s="11" t="str">
        <f t="shared" si="5"/>
        <v>G13K6</v>
      </c>
      <c r="I16" s="11" t="str">
        <f t="shared" si="5"/>
        <v>G13T7</v>
      </c>
      <c r="J16" s="11" t="str">
        <f t="shared" si="5"/>
        <v>G13F8</v>
      </c>
      <c r="K16" s="11" t="str">
        <f t="shared" si="5"/>
        <v>G13S9</v>
      </c>
      <c r="L16" s="11" t="str">
        <f t="shared" si="5"/>
        <v>G13A10</v>
      </c>
      <c r="M16" s="11" t="str">
        <f t="shared" si="5"/>
        <v>G13G11</v>
      </c>
      <c r="N16" s="11" t="str">
        <f t="shared" si="5"/>
        <v>G13M12</v>
      </c>
      <c r="O16" s="11" t="str">
        <f t="shared" si="5"/>
        <v>G13G13</v>
      </c>
      <c r="P16" s="11" t="str">
        <f t="shared" si="5"/>
        <v>G13H14</v>
      </c>
      <c r="Q16" s="11" t="str">
        <f t="shared" si="5"/>
        <v>G13A15</v>
      </c>
      <c r="R16" s="11" t="str">
        <f t="shared" si="5"/>
        <v>G13A16</v>
      </c>
      <c r="S16" s="11" t="str">
        <f t="shared" si="5"/>
        <v>G13A17</v>
      </c>
      <c r="T16" s="11" t="str">
        <f t="shared" si="6"/>
        <v>G13J18-MEP</v>
      </c>
      <c r="U16" s="11" t="str">
        <f t="shared" si="6"/>
        <v>G13E19-MEP</v>
      </c>
      <c r="V16" s="11" t="str">
        <f t="shared" si="6"/>
        <v>G13E20-MEP</v>
      </c>
      <c r="W16" s="11" t="str">
        <f t="shared" si="6"/>
        <v>G13S21-MEP</v>
      </c>
      <c r="X16" s="11" t="str">
        <f t="shared" si="6"/>
        <v/>
      </c>
      <c r="Y16" s="11" t="str">
        <f t="shared" si="6"/>
        <v>G13G23-MEP</v>
      </c>
      <c r="Z16" s="11" t="str">
        <f t="shared" si="6"/>
        <v>G13T24-MEP</v>
      </c>
      <c r="AA16" s="11" t="str">
        <f t="shared" si="6"/>
        <v>G13F25-MEP</v>
      </c>
      <c r="AB16" s="11" t="str">
        <f t="shared" si="6"/>
        <v>G13T26-MEP</v>
      </c>
      <c r="AC16" s="11" t="str">
        <f t="shared" si="6"/>
        <v>G13J27-MEP</v>
      </c>
      <c r="AD16" s="11" t="str">
        <f t="shared" si="6"/>
        <v>G13A28-MEP</v>
      </c>
      <c r="AE16" s="11" t="str">
        <f t="shared" si="6"/>
        <v>G13G29</v>
      </c>
      <c r="AF16" s="11" t="str">
        <f t="shared" si="6"/>
        <v>G13F30</v>
      </c>
      <c r="AG16" s="11" t="str">
        <f t="shared" si="6"/>
        <v>G13R31-MEP</v>
      </c>
      <c r="AH16" s="11" t="str">
        <f t="shared" si="6"/>
        <v>G13M32-B</v>
      </c>
      <c r="AI16" s="11" t="str">
        <f t="shared" si="6"/>
        <v>G13I33-B</v>
      </c>
      <c r="AJ16" s="11" t="str">
        <f t="shared" si="7"/>
        <v>G13M34-B</v>
      </c>
      <c r="AK16" s="11" t="str">
        <f t="shared" si="7"/>
        <v>G13K35-B</v>
      </c>
      <c r="AL16" s="11" t="str">
        <f t="shared" si="7"/>
        <v>G13A36-B</v>
      </c>
      <c r="AM16" s="11" t="str">
        <f t="shared" si="7"/>
        <v>G13M37-B</v>
      </c>
      <c r="AN16" s="11" t="str">
        <f t="shared" si="7"/>
        <v>G13M38-MEP</v>
      </c>
      <c r="AO16" s="11" t="str">
        <f t="shared" si="7"/>
        <v/>
      </c>
      <c r="AP16" s="11" t="str">
        <f t="shared" si="7"/>
        <v>G13A40</v>
      </c>
      <c r="AQ16" s="11" t="str">
        <f t="shared" si="7"/>
        <v>G13H41</v>
      </c>
      <c r="AR16" s="11" t="str">
        <f t="shared" si="7"/>
        <v>G13M42</v>
      </c>
      <c r="AS16" s="11" t="str">
        <f t="shared" si="7"/>
        <v/>
      </c>
      <c r="AT16" s="11" t="str">
        <f t="shared" si="7"/>
        <v/>
      </c>
      <c r="AU16" s="11" t="str">
        <f t="shared" si="7"/>
        <v/>
      </c>
      <c r="AV16" s="11" t="str">
        <f t="shared" si="7"/>
        <v/>
      </c>
    </row>
    <row r="17" spans="1:48" x14ac:dyDescent="0.25">
      <c r="A17" s="13">
        <f t="shared" si="8"/>
        <v>14</v>
      </c>
      <c r="B17" s="8" t="str">
        <f>Links!G16</f>
        <v>H14</v>
      </c>
      <c r="C17" s="11" t="str">
        <f t="shared" si="9"/>
        <v>H14A1</v>
      </c>
      <c r="D17" s="11" t="str">
        <f t="shared" si="5"/>
        <v>H14E2</v>
      </c>
      <c r="E17" s="11" t="str">
        <f t="shared" si="5"/>
        <v>H14W3</v>
      </c>
      <c r="F17" s="11" t="str">
        <f t="shared" si="5"/>
        <v>H14A4</v>
      </c>
      <c r="G17" s="11" t="str">
        <f t="shared" si="5"/>
        <v>H14I5</v>
      </c>
      <c r="H17" s="11" t="str">
        <f t="shared" si="5"/>
        <v>H14K6</v>
      </c>
      <c r="I17" s="11" t="str">
        <f t="shared" si="5"/>
        <v>H14T7</v>
      </c>
      <c r="J17" s="11" t="str">
        <f t="shared" si="5"/>
        <v>H14F8</v>
      </c>
      <c r="K17" s="11" t="str">
        <f t="shared" si="5"/>
        <v>H14S9</v>
      </c>
      <c r="L17" s="11" t="str">
        <f t="shared" si="5"/>
        <v>H14A10</v>
      </c>
      <c r="M17" s="11" t="str">
        <f t="shared" si="5"/>
        <v>H14G11</v>
      </c>
      <c r="N17" s="11" t="str">
        <f t="shared" si="5"/>
        <v>H14M12</v>
      </c>
      <c r="O17" s="11" t="str">
        <f t="shared" si="5"/>
        <v>H14G13</v>
      </c>
      <c r="P17" s="11" t="str">
        <f t="shared" si="5"/>
        <v>H14H14</v>
      </c>
      <c r="Q17" s="11" t="str">
        <f t="shared" si="5"/>
        <v>H14A15</v>
      </c>
      <c r="R17" s="11" t="str">
        <f t="shared" si="5"/>
        <v>H14A16</v>
      </c>
      <c r="S17" s="11" t="str">
        <f t="shared" si="5"/>
        <v>H14A17</v>
      </c>
      <c r="T17" s="11" t="str">
        <f t="shared" si="6"/>
        <v>H14J18-MEP</v>
      </c>
      <c r="U17" s="11" t="str">
        <f t="shared" si="6"/>
        <v>H14E19-MEP</v>
      </c>
      <c r="V17" s="11" t="str">
        <f t="shared" si="6"/>
        <v>H14E20-MEP</v>
      </c>
      <c r="W17" s="11" t="str">
        <f t="shared" si="6"/>
        <v>H14S21-MEP</v>
      </c>
      <c r="X17" s="11" t="str">
        <f t="shared" si="6"/>
        <v/>
      </c>
      <c r="Y17" s="11" t="str">
        <f t="shared" si="6"/>
        <v>H14G23-MEP</v>
      </c>
      <c r="Z17" s="11" t="str">
        <f t="shared" si="6"/>
        <v>H14T24-MEP</v>
      </c>
      <c r="AA17" s="11" t="str">
        <f t="shared" si="6"/>
        <v>H14F25-MEP</v>
      </c>
      <c r="AB17" s="11" t="str">
        <f t="shared" si="6"/>
        <v>H14T26-MEP</v>
      </c>
      <c r="AC17" s="11" t="str">
        <f t="shared" si="6"/>
        <v>H14J27-MEP</v>
      </c>
      <c r="AD17" s="11" t="str">
        <f t="shared" si="6"/>
        <v>H14A28-MEP</v>
      </c>
      <c r="AE17" s="11" t="str">
        <f t="shared" si="6"/>
        <v>H14G29</v>
      </c>
      <c r="AF17" s="11" t="str">
        <f t="shared" si="6"/>
        <v>H14F30</v>
      </c>
      <c r="AG17" s="11" t="str">
        <f t="shared" si="6"/>
        <v>H14R31-MEP</v>
      </c>
      <c r="AH17" s="11" t="str">
        <f t="shared" si="6"/>
        <v>H14M32-B</v>
      </c>
      <c r="AI17" s="11" t="str">
        <f t="shared" si="6"/>
        <v>H14I33-B</v>
      </c>
      <c r="AJ17" s="11" t="str">
        <f t="shared" si="7"/>
        <v>H14M34-B</v>
      </c>
      <c r="AK17" s="11" t="str">
        <f t="shared" si="7"/>
        <v>H14K35-B</v>
      </c>
      <c r="AL17" s="11" t="str">
        <f t="shared" si="7"/>
        <v>H14A36-B</v>
      </c>
      <c r="AM17" s="11" t="str">
        <f t="shared" si="7"/>
        <v>H14M37-B</v>
      </c>
      <c r="AN17" s="11" t="str">
        <f t="shared" si="7"/>
        <v>H14M38-MEP</v>
      </c>
      <c r="AO17" s="11" t="str">
        <f t="shared" si="7"/>
        <v/>
      </c>
      <c r="AP17" s="11" t="str">
        <f t="shared" si="7"/>
        <v>H14A40</v>
      </c>
      <c r="AQ17" s="11" t="str">
        <f t="shared" si="7"/>
        <v>H14H41</v>
      </c>
      <c r="AR17" s="11" t="str">
        <f t="shared" si="7"/>
        <v>H14M42</v>
      </c>
      <c r="AS17" s="11" t="str">
        <f t="shared" si="7"/>
        <v/>
      </c>
      <c r="AT17" s="11" t="str">
        <f t="shared" si="7"/>
        <v/>
      </c>
      <c r="AU17" s="11" t="str">
        <f t="shared" si="7"/>
        <v/>
      </c>
      <c r="AV17" s="11" t="str">
        <f t="shared" si="7"/>
        <v/>
      </c>
    </row>
    <row r="18" spans="1:48" x14ac:dyDescent="0.25">
      <c r="A18" s="13">
        <f t="shared" si="8"/>
        <v>15</v>
      </c>
      <c r="B18" s="8" t="str">
        <f>Links!G17</f>
        <v>A15</v>
      </c>
      <c r="C18" s="11" t="str">
        <f t="shared" si="9"/>
        <v>A15A1</v>
      </c>
      <c r="D18" s="11" t="str">
        <f t="shared" si="5"/>
        <v>A15E2</v>
      </c>
      <c r="E18" s="11" t="str">
        <f t="shared" si="5"/>
        <v>A15W3</v>
      </c>
      <c r="F18" s="11" t="str">
        <f t="shared" si="5"/>
        <v>A15A4</v>
      </c>
      <c r="G18" s="11" t="str">
        <f t="shared" si="5"/>
        <v>A15I5</v>
      </c>
      <c r="H18" s="11" t="str">
        <f t="shared" si="5"/>
        <v>A15K6</v>
      </c>
      <c r="I18" s="11" t="str">
        <f t="shared" si="5"/>
        <v>A15T7</v>
      </c>
      <c r="J18" s="11" t="str">
        <f t="shared" si="5"/>
        <v>A15F8</v>
      </c>
      <c r="K18" s="11" t="str">
        <f t="shared" si="5"/>
        <v>A15S9</v>
      </c>
      <c r="L18" s="11" t="str">
        <f t="shared" si="5"/>
        <v>A15A10</v>
      </c>
      <c r="M18" s="11" t="str">
        <f t="shared" si="5"/>
        <v>A15G11</v>
      </c>
      <c r="N18" s="11" t="str">
        <f t="shared" si="5"/>
        <v>A15M12</v>
      </c>
      <c r="O18" s="11" t="str">
        <f t="shared" si="5"/>
        <v>A15G13</v>
      </c>
      <c r="P18" s="11" t="str">
        <f t="shared" si="5"/>
        <v>A15H14</v>
      </c>
      <c r="Q18" s="11" t="str">
        <f t="shared" si="5"/>
        <v>A15A15</v>
      </c>
      <c r="R18" s="11" t="str">
        <f t="shared" si="5"/>
        <v>A15A16</v>
      </c>
      <c r="S18" s="11" t="str">
        <f t="shared" si="5"/>
        <v>A15A17</v>
      </c>
      <c r="T18" s="11" t="str">
        <f t="shared" si="6"/>
        <v>A15J18-MEP</v>
      </c>
      <c r="U18" s="11" t="str">
        <f t="shared" si="6"/>
        <v>A15E19-MEP</v>
      </c>
      <c r="V18" s="11" t="str">
        <f t="shared" si="6"/>
        <v>A15E20-MEP</v>
      </c>
      <c r="W18" s="11" t="str">
        <f t="shared" si="6"/>
        <v>A15S21-MEP</v>
      </c>
      <c r="X18" s="11" t="str">
        <f t="shared" si="6"/>
        <v/>
      </c>
      <c r="Y18" s="11" t="str">
        <f t="shared" si="6"/>
        <v>A15G23-MEP</v>
      </c>
      <c r="Z18" s="11" t="str">
        <f t="shared" si="6"/>
        <v>A15T24-MEP</v>
      </c>
      <c r="AA18" s="11" t="str">
        <f t="shared" si="6"/>
        <v>A15F25-MEP</v>
      </c>
      <c r="AB18" s="11" t="str">
        <f t="shared" si="6"/>
        <v>A15T26-MEP</v>
      </c>
      <c r="AC18" s="11" t="str">
        <f t="shared" si="6"/>
        <v>A15J27-MEP</v>
      </c>
      <c r="AD18" s="11" t="str">
        <f t="shared" si="6"/>
        <v>A15A28-MEP</v>
      </c>
      <c r="AE18" s="11" t="str">
        <f t="shared" si="6"/>
        <v>A15G29</v>
      </c>
      <c r="AF18" s="11" t="str">
        <f t="shared" si="6"/>
        <v>A15F30</v>
      </c>
      <c r="AG18" s="11" t="str">
        <f t="shared" si="6"/>
        <v>A15R31-MEP</v>
      </c>
      <c r="AH18" s="11" t="str">
        <f t="shared" si="6"/>
        <v>A15M32-B</v>
      </c>
      <c r="AI18" s="11" t="str">
        <f t="shared" si="6"/>
        <v>A15I33-B</v>
      </c>
      <c r="AJ18" s="11" t="str">
        <f t="shared" si="7"/>
        <v>A15M34-B</v>
      </c>
      <c r="AK18" s="11" t="str">
        <f t="shared" si="7"/>
        <v>A15K35-B</v>
      </c>
      <c r="AL18" s="11" t="str">
        <f t="shared" si="7"/>
        <v>A15A36-B</v>
      </c>
      <c r="AM18" s="11" t="str">
        <f t="shared" si="7"/>
        <v>A15M37-B</v>
      </c>
      <c r="AN18" s="11" t="str">
        <f t="shared" si="7"/>
        <v>A15M38-MEP</v>
      </c>
      <c r="AO18" s="11" t="str">
        <f t="shared" si="7"/>
        <v/>
      </c>
      <c r="AP18" s="11" t="str">
        <f t="shared" si="7"/>
        <v>A15A40</v>
      </c>
      <c r="AQ18" s="11" t="str">
        <f t="shared" si="7"/>
        <v>A15H41</v>
      </c>
      <c r="AR18" s="11" t="str">
        <f t="shared" si="7"/>
        <v>A15M42</v>
      </c>
      <c r="AS18" s="11" t="str">
        <f t="shared" si="7"/>
        <v/>
      </c>
      <c r="AT18" s="11" t="str">
        <f t="shared" si="7"/>
        <v/>
      </c>
      <c r="AU18" s="11" t="str">
        <f t="shared" si="7"/>
        <v/>
      </c>
      <c r="AV18" s="11" t="str">
        <f t="shared" si="7"/>
        <v/>
      </c>
    </row>
    <row r="19" spans="1:48" x14ac:dyDescent="0.25">
      <c r="A19" s="13">
        <f t="shared" si="8"/>
        <v>16</v>
      </c>
      <c r="B19" s="8" t="str">
        <f>Links!G18</f>
        <v>A16</v>
      </c>
      <c r="C19" s="11" t="str">
        <f t="shared" si="9"/>
        <v>A16A1</v>
      </c>
      <c r="D19" s="11" t="str">
        <f t="shared" si="5"/>
        <v>A16E2</v>
      </c>
      <c r="E19" s="11" t="str">
        <f t="shared" si="5"/>
        <v>A16W3</v>
      </c>
      <c r="F19" s="11" t="str">
        <f t="shared" si="5"/>
        <v>A16A4</v>
      </c>
      <c r="G19" s="11" t="str">
        <f t="shared" si="5"/>
        <v>A16I5</v>
      </c>
      <c r="H19" s="11" t="str">
        <f t="shared" si="5"/>
        <v>A16K6</v>
      </c>
      <c r="I19" s="11" t="str">
        <f t="shared" si="5"/>
        <v>A16T7</v>
      </c>
      <c r="J19" s="11" t="str">
        <f t="shared" si="5"/>
        <v>A16F8</v>
      </c>
      <c r="K19" s="11" t="str">
        <f t="shared" si="5"/>
        <v>A16S9</v>
      </c>
      <c r="L19" s="11" t="str">
        <f t="shared" si="5"/>
        <v>A16A10</v>
      </c>
      <c r="M19" s="11" t="str">
        <f t="shared" si="5"/>
        <v>A16G11</v>
      </c>
      <c r="N19" s="11" t="str">
        <f t="shared" si="5"/>
        <v>A16M12</v>
      </c>
      <c r="O19" s="11" t="str">
        <f t="shared" si="5"/>
        <v>A16G13</v>
      </c>
      <c r="P19" s="11" t="str">
        <f t="shared" si="5"/>
        <v>A16H14</v>
      </c>
      <c r="Q19" s="11" t="str">
        <f t="shared" si="5"/>
        <v>A16A15</v>
      </c>
      <c r="R19" s="11" t="str">
        <f t="shared" si="5"/>
        <v>A16A16</v>
      </c>
      <c r="S19" s="11" t="str">
        <f t="shared" ref="S19:AH34" si="10">IF(OR($B19=0,S$3=0),"",_xlfn.CONCAT($B19,VLOOKUP(S$2,$A$4:$B$70,2,0)))</f>
        <v>A16A17</v>
      </c>
      <c r="T19" s="11" t="str">
        <f t="shared" si="6"/>
        <v>A16J18-MEP</v>
      </c>
      <c r="U19" s="11" t="str">
        <f t="shared" si="6"/>
        <v>A16E19-MEP</v>
      </c>
      <c r="V19" s="11" t="str">
        <f t="shared" si="6"/>
        <v>A16E20-MEP</v>
      </c>
      <c r="W19" s="11" t="str">
        <f t="shared" si="6"/>
        <v>A16S21-MEP</v>
      </c>
      <c r="X19" s="11" t="str">
        <f t="shared" si="6"/>
        <v/>
      </c>
      <c r="Y19" s="11" t="str">
        <f t="shared" si="6"/>
        <v>A16G23-MEP</v>
      </c>
      <c r="Z19" s="11" t="str">
        <f t="shared" si="6"/>
        <v>A16T24-MEP</v>
      </c>
      <c r="AA19" s="11" t="str">
        <f t="shared" si="6"/>
        <v>A16F25-MEP</v>
      </c>
      <c r="AB19" s="11" t="str">
        <f t="shared" si="6"/>
        <v>A16T26-MEP</v>
      </c>
      <c r="AC19" s="11" t="str">
        <f t="shared" si="6"/>
        <v>A16J27-MEP</v>
      </c>
      <c r="AD19" s="11" t="str">
        <f t="shared" si="6"/>
        <v>A16A28-MEP</v>
      </c>
      <c r="AE19" s="11" t="str">
        <f t="shared" si="6"/>
        <v>A16G29</v>
      </c>
      <c r="AF19" s="11" t="str">
        <f t="shared" si="6"/>
        <v>A16F30</v>
      </c>
      <c r="AG19" s="11" t="str">
        <f t="shared" si="6"/>
        <v>A16R31-MEP</v>
      </c>
      <c r="AH19" s="11" t="str">
        <f t="shared" si="6"/>
        <v>A16M32-B</v>
      </c>
      <c r="AI19" s="11" t="str">
        <f t="shared" ref="AI19:AV34" si="11">IF(OR($B19=0,AI$3=0),"",_xlfn.CONCAT($B19,VLOOKUP(AI$2,$A$4:$B$70,2,0)))</f>
        <v>A16I33-B</v>
      </c>
      <c r="AJ19" s="11" t="str">
        <f t="shared" si="7"/>
        <v>A16M34-B</v>
      </c>
      <c r="AK19" s="11" t="str">
        <f t="shared" si="7"/>
        <v>A16K35-B</v>
      </c>
      <c r="AL19" s="11" t="str">
        <f t="shared" si="7"/>
        <v>A16A36-B</v>
      </c>
      <c r="AM19" s="11" t="str">
        <f t="shared" si="7"/>
        <v>A16M37-B</v>
      </c>
      <c r="AN19" s="11" t="str">
        <f t="shared" si="7"/>
        <v>A16M38-MEP</v>
      </c>
      <c r="AO19" s="11" t="str">
        <f t="shared" si="7"/>
        <v/>
      </c>
      <c r="AP19" s="11" t="str">
        <f t="shared" si="7"/>
        <v>A16A40</v>
      </c>
      <c r="AQ19" s="11" t="str">
        <f t="shared" si="7"/>
        <v>A16H41</v>
      </c>
      <c r="AR19" s="11" t="str">
        <f t="shared" si="7"/>
        <v>A16M42</v>
      </c>
      <c r="AS19" s="11" t="str">
        <f t="shared" si="7"/>
        <v/>
      </c>
      <c r="AT19" s="11" t="str">
        <f t="shared" si="7"/>
        <v/>
      </c>
      <c r="AU19" s="11" t="str">
        <f t="shared" si="7"/>
        <v/>
      </c>
      <c r="AV19" s="11" t="str">
        <f t="shared" si="7"/>
        <v/>
      </c>
    </row>
    <row r="20" spans="1:48" x14ac:dyDescent="0.25">
      <c r="A20" s="13">
        <f t="shared" si="8"/>
        <v>17</v>
      </c>
      <c r="B20" s="8" t="str">
        <f>Links!G19</f>
        <v>A17</v>
      </c>
      <c r="C20" s="11" t="str">
        <f t="shared" si="9"/>
        <v>A17A1</v>
      </c>
      <c r="D20" s="11" t="str">
        <f t="shared" si="9"/>
        <v>A17E2</v>
      </c>
      <c r="E20" s="11" t="str">
        <f t="shared" si="9"/>
        <v>A17W3</v>
      </c>
      <c r="F20" s="11" t="str">
        <f t="shared" si="9"/>
        <v>A17A4</v>
      </c>
      <c r="G20" s="11" t="str">
        <f t="shared" si="9"/>
        <v>A17I5</v>
      </c>
      <c r="H20" s="11" t="str">
        <f t="shared" si="9"/>
        <v>A17K6</v>
      </c>
      <c r="I20" s="11" t="str">
        <f t="shared" si="9"/>
        <v>A17T7</v>
      </c>
      <c r="J20" s="11" t="str">
        <f t="shared" si="9"/>
        <v>A17F8</v>
      </c>
      <c r="K20" s="11" t="str">
        <f t="shared" si="9"/>
        <v>A17S9</v>
      </c>
      <c r="L20" s="11" t="str">
        <f t="shared" si="9"/>
        <v>A17A10</v>
      </c>
      <c r="M20" s="11" t="str">
        <f t="shared" si="9"/>
        <v>A17G11</v>
      </c>
      <c r="N20" s="11" t="str">
        <f t="shared" si="9"/>
        <v>A17M12</v>
      </c>
      <c r="O20" s="11" t="str">
        <f t="shared" si="9"/>
        <v>A17G13</v>
      </c>
      <c r="P20" s="11" t="str">
        <f t="shared" si="9"/>
        <v>A17H14</v>
      </c>
      <c r="Q20" s="11" t="str">
        <f t="shared" si="9"/>
        <v>A17A15</v>
      </c>
      <c r="R20" s="11" t="str">
        <f t="shared" si="9"/>
        <v>A17A16</v>
      </c>
      <c r="S20" s="11" t="str">
        <f t="shared" si="10"/>
        <v>A17A17</v>
      </c>
      <c r="T20" s="11" t="str">
        <f t="shared" si="10"/>
        <v>A17J18-MEP</v>
      </c>
      <c r="U20" s="11" t="str">
        <f t="shared" si="10"/>
        <v>A17E19-MEP</v>
      </c>
      <c r="V20" s="11" t="str">
        <f t="shared" si="10"/>
        <v>A17E20-MEP</v>
      </c>
      <c r="W20" s="11" t="str">
        <f t="shared" si="10"/>
        <v>A17S21-MEP</v>
      </c>
      <c r="X20" s="11" t="str">
        <f t="shared" si="10"/>
        <v/>
      </c>
      <c r="Y20" s="11" t="str">
        <f t="shared" si="10"/>
        <v>A17G23-MEP</v>
      </c>
      <c r="Z20" s="11" t="str">
        <f t="shared" si="10"/>
        <v>A17T24-MEP</v>
      </c>
      <c r="AA20" s="11" t="str">
        <f t="shared" si="10"/>
        <v>A17F25-MEP</v>
      </c>
      <c r="AB20" s="11" t="str">
        <f t="shared" si="10"/>
        <v>A17T26-MEP</v>
      </c>
      <c r="AC20" s="11" t="str">
        <f t="shared" si="10"/>
        <v>A17J27-MEP</v>
      </c>
      <c r="AD20" s="11" t="str">
        <f t="shared" si="10"/>
        <v>A17A28-MEP</v>
      </c>
      <c r="AE20" s="11" t="str">
        <f t="shared" si="10"/>
        <v>A17G29</v>
      </c>
      <c r="AF20" s="11" t="str">
        <f t="shared" si="10"/>
        <v>A17F30</v>
      </c>
      <c r="AG20" s="11" t="str">
        <f t="shared" si="10"/>
        <v>A17R31-MEP</v>
      </c>
      <c r="AH20" s="11" t="str">
        <f t="shared" si="10"/>
        <v>A17M32-B</v>
      </c>
      <c r="AI20" s="11" t="str">
        <f t="shared" si="11"/>
        <v>A17I33-B</v>
      </c>
      <c r="AJ20" s="11" t="str">
        <f t="shared" si="11"/>
        <v>A17M34-B</v>
      </c>
      <c r="AK20" s="11" t="str">
        <f t="shared" si="11"/>
        <v>A17K35-B</v>
      </c>
      <c r="AL20" s="11" t="str">
        <f t="shared" si="11"/>
        <v>A17A36-B</v>
      </c>
      <c r="AM20" s="11" t="str">
        <f t="shared" si="11"/>
        <v>A17M37-B</v>
      </c>
      <c r="AN20" s="11" t="str">
        <f t="shared" si="11"/>
        <v>A17M38-MEP</v>
      </c>
      <c r="AO20" s="11" t="str">
        <f t="shared" si="11"/>
        <v/>
      </c>
      <c r="AP20" s="11" t="str">
        <f t="shared" si="11"/>
        <v>A17A40</v>
      </c>
      <c r="AQ20" s="11" t="str">
        <f t="shared" si="11"/>
        <v>A17H41</v>
      </c>
      <c r="AR20" s="11" t="str">
        <f t="shared" si="11"/>
        <v>A17M42</v>
      </c>
      <c r="AS20" s="11" t="str">
        <f t="shared" si="11"/>
        <v/>
      </c>
      <c r="AT20" s="11" t="str">
        <f t="shared" si="11"/>
        <v/>
      </c>
      <c r="AU20" s="11" t="str">
        <f t="shared" si="11"/>
        <v/>
      </c>
      <c r="AV20" s="11" t="str">
        <f t="shared" si="11"/>
        <v/>
      </c>
    </row>
    <row r="21" spans="1:48" x14ac:dyDescent="0.25">
      <c r="A21" s="13">
        <f t="shared" si="8"/>
        <v>18</v>
      </c>
      <c r="B21" s="8" t="str">
        <f>Links!G20</f>
        <v>J18-MEP</v>
      </c>
      <c r="C21" s="11" t="str">
        <f t="shared" ref="C21:R36" si="12">IF(OR($B21=0,C$3=0),"",_xlfn.CONCAT($B21,VLOOKUP(C$2,$A$4:$B$70,2,0)))</f>
        <v>J18-MEPA1</v>
      </c>
      <c r="D21" s="11" t="str">
        <f t="shared" si="12"/>
        <v>J18-MEPE2</v>
      </c>
      <c r="E21" s="11" t="str">
        <f t="shared" si="12"/>
        <v>J18-MEPW3</v>
      </c>
      <c r="F21" s="11" t="str">
        <f t="shared" si="12"/>
        <v>J18-MEPA4</v>
      </c>
      <c r="G21" s="11" t="str">
        <f t="shared" si="12"/>
        <v>J18-MEPI5</v>
      </c>
      <c r="H21" s="11" t="str">
        <f t="shared" si="12"/>
        <v>J18-MEPK6</v>
      </c>
      <c r="I21" s="11" t="str">
        <f t="shared" si="12"/>
        <v>J18-MEPT7</v>
      </c>
      <c r="J21" s="11" t="str">
        <f t="shared" si="12"/>
        <v>J18-MEPF8</v>
      </c>
      <c r="K21" s="11" t="str">
        <f t="shared" si="12"/>
        <v>J18-MEPS9</v>
      </c>
      <c r="L21" s="11" t="str">
        <f t="shared" si="12"/>
        <v>J18-MEPA10</v>
      </c>
      <c r="M21" s="11" t="str">
        <f t="shared" si="12"/>
        <v>J18-MEPG11</v>
      </c>
      <c r="N21" s="11" t="str">
        <f t="shared" si="12"/>
        <v>J18-MEPM12</v>
      </c>
      <c r="O21" s="11" t="str">
        <f t="shared" si="12"/>
        <v>J18-MEPG13</v>
      </c>
      <c r="P21" s="11" t="str">
        <f t="shared" si="12"/>
        <v>J18-MEPH14</v>
      </c>
      <c r="Q21" s="11" t="str">
        <f t="shared" si="12"/>
        <v>J18-MEPA15</v>
      </c>
      <c r="R21" s="11" t="str">
        <f t="shared" si="12"/>
        <v>J18-MEPA16</v>
      </c>
      <c r="S21" s="11" t="str">
        <f t="shared" si="10"/>
        <v>J18-MEPA17</v>
      </c>
      <c r="T21" s="11" t="str">
        <f t="shared" si="10"/>
        <v>J18-MEPJ18-MEP</v>
      </c>
      <c r="U21" s="11" t="str">
        <f t="shared" si="10"/>
        <v>J18-MEPE19-MEP</v>
      </c>
      <c r="V21" s="11" t="str">
        <f t="shared" si="10"/>
        <v>J18-MEPE20-MEP</v>
      </c>
      <c r="W21" s="11" t="str">
        <f t="shared" si="10"/>
        <v>J18-MEPS21-MEP</v>
      </c>
      <c r="X21" s="11" t="str">
        <f t="shared" si="10"/>
        <v/>
      </c>
      <c r="Y21" s="11" t="str">
        <f t="shared" si="10"/>
        <v>J18-MEPG23-MEP</v>
      </c>
      <c r="Z21" s="11" t="str">
        <f t="shared" si="10"/>
        <v>J18-MEPT24-MEP</v>
      </c>
      <c r="AA21" s="11" t="str">
        <f t="shared" si="10"/>
        <v>J18-MEPF25-MEP</v>
      </c>
      <c r="AB21" s="11" t="str">
        <f t="shared" si="10"/>
        <v>J18-MEPT26-MEP</v>
      </c>
      <c r="AC21" s="11" t="str">
        <f t="shared" si="10"/>
        <v>J18-MEPJ27-MEP</v>
      </c>
      <c r="AD21" s="11" t="str">
        <f t="shared" si="10"/>
        <v>J18-MEPA28-MEP</v>
      </c>
      <c r="AE21" s="11" t="str">
        <f t="shared" si="10"/>
        <v>J18-MEPG29</v>
      </c>
      <c r="AF21" s="11" t="str">
        <f t="shared" si="10"/>
        <v>J18-MEPF30</v>
      </c>
      <c r="AG21" s="11" t="str">
        <f t="shared" si="10"/>
        <v>J18-MEPR31-MEP</v>
      </c>
      <c r="AH21" s="11" t="str">
        <f t="shared" si="10"/>
        <v>J18-MEPM32-B</v>
      </c>
      <c r="AI21" s="11" t="str">
        <f t="shared" si="11"/>
        <v>J18-MEPI33-B</v>
      </c>
      <c r="AJ21" s="11" t="str">
        <f t="shared" si="11"/>
        <v>J18-MEPM34-B</v>
      </c>
      <c r="AK21" s="11" t="str">
        <f t="shared" si="11"/>
        <v>J18-MEPK35-B</v>
      </c>
      <c r="AL21" s="11" t="str">
        <f t="shared" si="11"/>
        <v>J18-MEPA36-B</v>
      </c>
      <c r="AM21" s="11" t="str">
        <f t="shared" si="11"/>
        <v>J18-MEPM37-B</v>
      </c>
      <c r="AN21" s="11" t="str">
        <f t="shared" si="11"/>
        <v>J18-MEPM38-MEP</v>
      </c>
      <c r="AO21" s="11" t="str">
        <f t="shared" si="11"/>
        <v/>
      </c>
      <c r="AP21" s="11" t="str">
        <f t="shared" si="11"/>
        <v>J18-MEPA40</v>
      </c>
      <c r="AQ21" s="11" t="str">
        <f t="shared" si="11"/>
        <v>J18-MEPH41</v>
      </c>
      <c r="AR21" s="11" t="str">
        <f t="shared" si="11"/>
        <v>J18-MEPM42</v>
      </c>
      <c r="AS21" s="11" t="str">
        <f t="shared" si="11"/>
        <v/>
      </c>
      <c r="AT21" s="11" t="str">
        <f t="shared" si="11"/>
        <v/>
      </c>
      <c r="AU21" s="11" t="str">
        <f t="shared" si="11"/>
        <v/>
      </c>
      <c r="AV21" s="11" t="str">
        <f t="shared" si="11"/>
        <v/>
      </c>
    </row>
    <row r="22" spans="1:48" x14ac:dyDescent="0.25">
      <c r="A22" s="13">
        <f t="shared" si="8"/>
        <v>19</v>
      </c>
      <c r="B22" s="8" t="str">
        <f>Links!G21</f>
        <v>E19-MEP</v>
      </c>
      <c r="C22" s="11" t="str">
        <f t="shared" si="12"/>
        <v>E19-MEPA1</v>
      </c>
      <c r="D22" s="11" t="str">
        <f t="shared" si="12"/>
        <v>E19-MEPE2</v>
      </c>
      <c r="E22" s="11" t="str">
        <f t="shared" si="12"/>
        <v>E19-MEPW3</v>
      </c>
      <c r="F22" s="11" t="str">
        <f t="shared" si="12"/>
        <v>E19-MEPA4</v>
      </c>
      <c r="G22" s="11" t="str">
        <f t="shared" si="12"/>
        <v>E19-MEPI5</v>
      </c>
      <c r="H22" s="11" t="str">
        <f t="shared" si="12"/>
        <v>E19-MEPK6</v>
      </c>
      <c r="I22" s="11" t="str">
        <f t="shared" si="12"/>
        <v>E19-MEPT7</v>
      </c>
      <c r="J22" s="11" t="str">
        <f t="shared" si="12"/>
        <v>E19-MEPF8</v>
      </c>
      <c r="K22" s="11" t="str">
        <f t="shared" si="12"/>
        <v>E19-MEPS9</v>
      </c>
      <c r="L22" s="11" t="str">
        <f t="shared" si="12"/>
        <v>E19-MEPA10</v>
      </c>
      <c r="M22" s="11" t="str">
        <f t="shared" si="12"/>
        <v>E19-MEPG11</v>
      </c>
      <c r="N22" s="11" t="str">
        <f t="shared" si="12"/>
        <v>E19-MEPM12</v>
      </c>
      <c r="O22" s="11" t="str">
        <f t="shared" si="12"/>
        <v>E19-MEPG13</v>
      </c>
      <c r="P22" s="11" t="str">
        <f t="shared" si="12"/>
        <v>E19-MEPH14</v>
      </c>
      <c r="Q22" s="11" t="str">
        <f t="shared" si="12"/>
        <v>E19-MEPA15</v>
      </c>
      <c r="R22" s="11" t="str">
        <f t="shared" si="12"/>
        <v>E19-MEPA16</v>
      </c>
      <c r="S22" s="11" t="str">
        <f t="shared" si="10"/>
        <v>E19-MEPA17</v>
      </c>
      <c r="T22" s="11" t="str">
        <f t="shared" si="10"/>
        <v>E19-MEPJ18-MEP</v>
      </c>
      <c r="U22" s="11" t="str">
        <f t="shared" si="10"/>
        <v>E19-MEPE19-MEP</v>
      </c>
      <c r="V22" s="11" t="str">
        <f t="shared" si="10"/>
        <v>E19-MEPE20-MEP</v>
      </c>
      <c r="W22" s="11" t="str">
        <f t="shared" si="10"/>
        <v>E19-MEPS21-MEP</v>
      </c>
      <c r="X22" s="11" t="str">
        <f t="shared" si="10"/>
        <v/>
      </c>
      <c r="Y22" s="11" t="str">
        <f t="shared" si="10"/>
        <v>E19-MEPG23-MEP</v>
      </c>
      <c r="Z22" s="11" t="str">
        <f t="shared" si="10"/>
        <v>E19-MEPT24-MEP</v>
      </c>
      <c r="AA22" s="11" t="str">
        <f t="shared" si="10"/>
        <v>E19-MEPF25-MEP</v>
      </c>
      <c r="AB22" s="11" t="str">
        <f t="shared" si="10"/>
        <v>E19-MEPT26-MEP</v>
      </c>
      <c r="AC22" s="11" t="str">
        <f t="shared" si="10"/>
        <v>E19-MEPJ27-MEP</v>
      </c>
      <c r="AD22" s="11" t="str">
        <f t="shared" si="10"/>
        <v>E19-MEPA28-MEP</v>
      </c>
      <c r="AE22" s="11" t="str">
        <f t="shared" si="10"/>
        <v>E19-MEPG29</v>
      </c>
      <c r="AF22" s="11" t="str">
        <f t="shared" si="10"/>
        <v>E19-MEPF30</v>
      </c>
      <c r="AG22" s="11" t="str">
        <f t="shared" si="10"/>
        <v>E19-MEPR31-MEP</v>
      </c>
      <c r="AH22" s="11" t="str">
        <f t="shared" si="10"/>
        <v>E19-MEPM32-B</v>
      </c>
      <c r="AI22" s="11" t="str">
        <f t="shared" si="11"/>
        <v>E19-MEPI33-B</v>
      </c>
      <c r="AJ22" s="11" t="str">
        <f t="shared" si="11"/>
        <v>E19-MEPM34-B</v>
      </c>
      <c r="AK22" s="11" t="str">
        <f t="shared" si="11"/>
        <v>E19-MEPK35-B</v>
      </c>
      <c r="AL22" s="11" t="str">
        <f t="shared" si="11"/>
        <v>E19-MEPA36-B</v>
      </c>
      <c r="AM22" s="11" t="str">
        <f t="shared" si="11"/>
        <v>E19-MEPM37-B</v>
      </c>
      <c r="AN22" s="11" t="str">
        <f t="shared" si="11"/>
        <v>E19-MEPM38-MEP</v>
      </c>
      <c r="AO22" s="11" t="str">
        <f t="shared" si="11"/>
        <v/>
      </c>
      <c r="AP22" s="11" t="str">
        <f t="shared" si="11"/>
        <v>E19-MEPA40</v>
      </c>
      <c r="AQ22" s="11" t="str">
        <f t="shared" si="11"/>
        <v>E19-MEPH41</v>
      </c>
      <c r="AR22" s="11" t="str">
        <f t="shared" si="11"/>
        <v>E19-MEPM42</v>
      </c>
      <c r="AS22" s="11" t="str">
        <f t="shared" si="11"/>
        <v/>
      </c>
      <c r="AT22" s="11" t="str">
        <f t="shared" si="11"/>
        <v/>
      </c>
      <c r="AU22" s="11" t="str">
        <f t="shared" si="11"/>
        <v/>
      </c>
      <c r="AV22" s="11" t="str">
        <f t="shared" si="11"/>
        <v/>
      </c>
    </row>
    <row r="23" spans="1:48" x14ac:dyDescent="0.25">
      <c r="A23" s="13">
        <f t="shared" si="8"/>
        <v>20</v>
      </c>
      <c r="B23" s="8" t="str">
        <f>Links!G22</f>
        <v>E20-MEP</v>
      </c>
      <c r="C23" s="11" t="str">
        <f t="shared" si="12"/>
        <v>E20-MEPA1</v>
      </c>
      <c r="D23" s="11" t="str">
        <f t="shared" si="12"/>
        <v>E20-MEPE2</v>
      </c>
      <c r="E23" s="11" t="str">
        <f t="shared" si="12"/>
        <v>E20-MEPW3</v>
      </c>
      <c r="F23" s="11" t="str">
        <f t="shared" si="12"/>
        <v>E20-MEPA4</v>
      </c>
      <c r="G23" s="11" t="str">
        <f t="shared" si="12"/>
        <v>E20-MEPI5</v>
      </c>
      <c r="H23" s="11" t="str">
        <f t="shared" si="12"/>
        <v>E20-MEPK6</v>
      </c>
      <c r="I23" s="11" t="str">
        <f t="shared" si="12"/>
        <v>E20-MEPT7</v>
      </c>
      <c r="J23" s="11" t="str">
        <f t="shared" si="12"/>
        <v>E20-MEPF8</v>
      </c>
      <c r="K23" s="11" t="str">
        <f t="shared" si="12"/>
        <v>E20-MEPS9</v>
      </c>
      <c r="L23" s="11" t="str">
        <f t="shared" si="12"/>
        <v>E20-MEPA10</v>
      </c>
      <c r="M23" s="11" t="str">
        <f t="shared" si="12"/>
        <v>E20-MEPG11</v>
      </c>
      <c r="N23" s="11" t="str">
        <f t="shared" si="12"/>
        <v>E20-MEPM12</v>
      </c>
      <c r="O23" s="11" t="str">
        <f t="shared" si="12"/>
        <v>E20-MEPG13</v>
      </c>
      <c r="P23" s="11" t="str">
        <f t="shared" si="12"/>
        <v>E20-MEPH14</v>
      </c>
      <c r="Q23" s="11" t="str">
        <f t="shared" si="12"/>
        <v>E20-MEPA15</v>
      </c>
      <c r="R23" s="11" t="str">
        <f t="shared" si="12"/>
        <v>E20-MEPA16</v>
      </c>
      <c r="S23" s="11" t="str">
        <f t="shared" si="10"/>
        <v>E20-MEPA17</v>
      </c>
      <c r="T23" s="11" t="str">
        <f t="shared" si="10"/>
        <v>E20-MEPJ18-MEP</v>
      </c>
      <c r="U23" s="11" t="str">
        <f t="shared" si="10"/>
        <v>E20-MEPE19-MEP</v>
      </c>
      <c r="V23" s="11" t="str">
        <f t="shared" si="10"/>
        <v>E20-MEPE20-MEP</v>
      </c>
      <c r="W23" s="11" t="str">
        <f t="shared" si="10"/>
        <v>E20-MEPS21-MEP</v>
      </c>
      <c r="X23" s="11" t="str">
        <f t="shared" si="10"/>
        <v/>
      </c>
      <c r="Y23" s="11" t="str">
        <f t="shared" si="10"/>
        <v>E20-MEPG23-MEP</v>
      </c>
      <c r="Z23" s="11" t="str">
        <f t="shared" si="10"/>
        <v>E20-MEPT24-MEP</v>
      </c>
      <c r="AA23" s="11" t="str">
        <f t="shared" si="10"/>
        <v>E20-MEPF25-MEP</v>
      </c>
      <c r="AB23" s="11" t="str">
        <f t="shared" si="10"/>
        <v>E20-MEPT26-MEP</v>
      </c>
      <c r="AC23" s="11" t="str">
        <f t="shared" si="10"/>
        <v>E20-MEPJ27-MEP</v>
      </c>
      <c r="AD23" s="11" t="str">
        <f t="shared" si="10"/>
        <v>E20-MEPA28-MEP</v>
      </c>
      <c r="AE23" s="11" t="str">
        <f t="shared" si="10"/>
        <v>E20-MEPG29</v>
      </c>
      <c r="AF23" s="11" t="str">
        <f t="shared" si="10"/>
        <v>E20-MEPF30</v>
      </c>
      <c r="AG23" s="11" t="str">
        <f t="shared" si="10"/>
        <v>E20-MEPR31-MEP</v>
      </c>
      <c r="AH23" s="11" t="str">
        <f t="shared" si="10"/>
        <v>E20-MEPM32-B</v>
      </c>
      <c r="AI23" s="11" t="str">
        <f t="shared" si="11"/>
        <v>E20-MEPI33-B</v>
      </c>
      <c r="AJ23" s="11" t="str">
        <f t="shared" si="11"/>
        <v>E20-MEPM34-B</v>
      </c>
      <c r="AK23" s="11" t="str">
        <f t="shared" si="11"/>
        <v>E20-MEPK35-B</v>
      </c>
      <c r="AL23" s="11" t="str">
        <f t="shared" si="11"/>
        <v>E20-MEPA36-B</v>
      </c>
      <c r="AM23" s="11" t="str">
        <f t="shared" si="11"/>
        <v>E20-MEPM37-B</v>
      </c>
      <c r="AN23" s="11" t="str">
        <f t="shared" si="11"/>
        <v>E20-MEPM38-MEP</v>
      </c>
      <c r="AO23" s="11" t="str">
        <f t="shared" si="11"/>
        <v/>
      </c>
      <c r="AP23" s="11" t="str">
        <f t="shared" si="11"/>
        <v>E20-MEPA40</v>
      </c>
      <c r="AQ23" s="11" t="str">
        <f t="shared" si="11"/>
        <v>E20-MEPH41</v>
      </c>
      <c r="AR23" s="11" t="str">
        <f t="shared" si="11"/>
        <v>E20-MEPM42</v>
      </c>
      <c r="AS23" s="11" t="str">
        <f t="shared" si="11"/>
        <v/>
      </c>
      <c r="AT23" s="11" t="str">
        <f t="shared" si="11"/>
        <v/>
      </c>
      <c r="AU23" s="11" t="str">
        <f t="shared" si="11"/>
        <v/>
      </c>
      <c r="AV23" s="11" t="str">
        <f t="shared" si="11"/>
        <v/>
      </c>
    </row>
    <row r="24" spans="1:48" x14ac:dyDescent="0.25">
      <c r="A24" s="13">
        <f t="shared" si="8"/>
        <v>21</v>
      </c>
      <c r="B24" s="8" t="str">
        <f>Links!G23</f>
        <v>S21-MEP</v>
      </c>
      <c r="C24" s="11" t="str">
        <f t="shared" si="12"/>
        <v>S21-MEPA1</v>
      </c>
      <c r="D24" s="11" t="str">
        <f t="shared" si="12"/>
        <v>S21-MEPE2</v>
      </c>
      <c r="E24" s="11" t="str">
        <f t="shared" si="12"/>
        <v>S21-MEPW3</v>
      </c>
      <c r="F24" s="11" t="str">
        <f t="shared" si="12"/>
        <v>S21-MEPA4</v>
      </c>
      <c r="G24" s="11" t="str">
        <f t="shared" si="12"/>
        <v>S21-MEPI5</v>
      </c>
      <c r="H24" s="11" t="str">
        <f t="shared" si="12"/>
        <v>S21-MEPK6</v>
      </c>
      <c r="I24" s="11" t="str">
        <f t="shared" si="12"/>
        <v>S21-MEPT7</v>
      </c>
      <c r="J24" s="11" t="str">
        <f t="shared" si="12"/>
        <v>S21-MEPF8</v>
      </c>
      <c r="K24" s="11" t="str">
        <f t="shared" si="12"/>
        <v>S21-MEPS9</v>
      </c>
      <c r="L24" s="11" t="str">
        <f t="shared" si="12"/>
        <v>S21-MEPA10</v>
      </c>
      <c r="M24" s="11" t="str">
        <f t="shared" si="12"/>
        <v>S21-MEPG11</v>
      </c>
      <c r="N24" s="11" t="str">
        <f t="shared" si="12"/>
        <v>S21-MEPM12</v>
      </c>
      <c r="O24" s="11" t="str">
        <f t="shared" si="12"/>
        <v>S21-MEPG13</v>
      </c>
      <c r="P24" s="11" t="str">
        <f t="shared" si="12"/>
        <v>S21-MEPH14</v>
      </c>
      <c r="Q24" s="11" t="str">
        <f t="shared" si="12"/>
        <v>S21-MEPA15</v>
      </c>
      <c r="R24" s="11" t="str">
        <f t="shared" si="12"/>
        <v>S21-MEPA16</v>
      </c>
      <c r="S24" s="11" t="str">
        <f t="shared" si="10"/>
        <v>S21-MEPA17</v>
      </c>
      <c r="T24" s="11" t="str">
        <f t="shared" si="10"/>
        <v>S21-MEPJ18-MEP</v>
      </c>
      <c r="U24" s="11" t="str">
        <f t="shared" si="10"/>
        <v>S21-MEPE19-MEP</v>
      </c>
      <c r="V24" s="11" t="str">
        <f t="shared" si="10"/>
        <v>S21-MEPE20-MEP</v>
      </c>
      <c r="W24" s="11" t="str">
        <f t="shared" si="10"/>
        <v>S21-MEPS21-MEP</v>
      </c>
      <c r="X24" s="11" t="str">
        <f t="shared" si="10"/>
        <v/>
      </c>
      <c r="Y24" s="11" t="str">
        <f t="shared" si="10"/>
        <v>S21-MEPG23-MEP</v>
      </c>
      <c r="Z24" s="11" t="str">
        <f t="shared" si="10"/>
        <v>S21-MEPT24-MEP</v>
      </c>
      <c r="AA24" s="11" t="str">
        <f t="shared" si="10"/>
        <v>S21-MEPF25-MEP</v>
      </c>
      <c r="AB24" s="11" t="str">
        <f t="shared" si="10"/>
        <v>S21-MEPT26-MEP</v>
      </c>
      <c r="AC24" s="11" t="str">
        <f t="shared" si="10"/>
        <v>S21-MEPJ27-MEP</v>
      </c>
      <c r="AD24" s="11" t="str">
        <f t="shared" si="10"/>
        <v>S21-MEPA28-MEP</v>
      </c>
      <c r="AE24" s="11" t="str">
        <f t="shared" si="10"/>
        <v>S21-MEPG29</v>
      </c>
      <c r="AF24" s="11" t="str">
        <f t="shared" si="10"/>
        <v>S21-MEPF30</v>
      </c>
      <c r="AG24" s="11" t="str">
        <f t="shared" si="10"/>
        <v>S21-MEPR31-MEP</v>
      </c>
      <c r="AH24" s="11" t="str">
        <f t="shared" si="10"/>
        <v>S21-MEPM32-B</v>
      </c>
      <c r="AI24" s="11" t="str">
        <f t="shared" si="11"/>
        <v>S21-MEPI33-B</v>
      </c>
      <c r="AJ24" s="11" t="str">
        <f t="shared" si="11"/>
        <v>S21-MEPM34-B</v>
      </c>
      <c r="AK24" s="11" t="str">
        <f t="shared" si="11"/>
        <v>S21-MEPK35-B</v>
      </c>
      <c r="AL24" s="11" t="str">
        <f t="shared" si="11"/>
        <v>S21-MEPA36-B</v>
      </c>
      <c r="AM24" s="11" t="str">
        <f t="shared" si="11"/>
        <v>S21-MEPM37-B</v>
      </c>
      <c r="AN24" s="11" t="str">
        <f t="shared" si="11"/>
        <v>S21-MEPM38-MEP</v>
      </c>
      <c r="AO24" s="11" t="str">
        <f t="shared" si="11"/>
        <v/>
      </c>
      <c r="AP24" s="11" t="str">
        <f t="shared" si="11"/>
        <v>S21-MEPA40</v>
      </c>
      <c r="AQ24" s="11" t="str">
        <f t="shared" si="11"/>
        <v>S21-MEPH41</v>
      </c>
      <c r="AR24" s="11" t="str">
        <f t="shared" si="11"/>
        <v>S21-MEPM42</v>
      </c>
      <c r="AS24" s="11" t="str">
        <f t="shared" si="11"/>
        <v/>
      </c>
      <c r="AT24" s="11" t="str">
        <f t="shared" si="11"/>
        <v/>
      </c>
      <c r="AU24" s="11" t="str">
        <f t="shared" si="11"/>
        <v/>
      </c>
      <c r="AV24" s="11" t="str">
        <f t="shared" si="11"/>
        <v/>
      </c>
    </row>
    <row r="25" spans="1:48" x14ac:dyDescent="0.25">
      <c r="A25" s="13">
        <f t="shared" si="8"/>
        <v>22</v>
      </c>
      <c r="B25" s="8">
        <f>Links!G24</f>
        <v>0</v>
      </c>
      <c r="C25" s="11" t="str">
        <f t="shared" si="12"/>
        <v/>
      </c>
      <c r="D25" s="11" t="str">
        <f t="shared" si="12"/>
        <v/>
      </c>
      <c r="E25" s="11" t="str">
        <f t="shared" si="12"/>
        <v/>
      </c>
      <c r="F25" s="11" t="str">
        <f t="shared" si="12"/>
        <v/>
      </c>
      <c r="G25" s="11" t="str">
        <f t="shared" si="12"/>
        <v/>
      </c>
      <c r="H25" s="11" t="str">
        <f t="shared" si="12"/>
        <v/>
      </c>
      <c r="I25" s="11" t="str">
        <f t="shared" si="12"/>
        <v/>
      </c>
      <c r="J25" s="11" t="str">
        <f t="shared" si="12"/>
        <v/>
      </c>
      <c r="K25" s="11" t="str">
        <f t="shared" si="12"/>
        <v/>
      </c>
      <c r="L25" s="11" t="str">
        <f t="shared" si="12"/>
        <v/>
      </c>
      <c r="M25" s="11" t="str">
        <f t="shared" si="12"/>
        <v/>
      </c>
      <c r="N25" s="11" t="str">
        <f t="shared" si="12"/>
        <v/>
      </c>
      <c r="O25" s="11" t="str">
        <f t="shared" si="12"/>
        <v/>
      </c>
      <c r="P25" s="11" t="str">
        <f t="shared" si="12"/>
        <v/>
      </c>
      <c r="Q25" s="11" t="str">
        <f t="shared" si="12"/>
        <v/>
      </c>
      <c r="R25" s="11" t="str">
        <f t="shared" si="12"/>
        <v/>
      </c>
      <c r="S25" s="11" t="str">
        <f t="shared" si="10"/>
        <v/>
      </c>
      <c r="T25" s="11" t="str">
        <f t="shared" si="10"/>
        <v/>
      </c>
      <c r="U25" s="11" t="str">
        <f t="shared" si="10"/>
        <v/>
      </c>
      <c r="V25" s="11" t="str">
        <f t="shared" si="10"/>
        <v/>
      </c>
      <c r="W25" s="11" t="str">
        <f t="shared" si="10"/>
        <v/>
      </c>
      <c r="X25" s="11" t="str">
        <f t="shared" si="10"/>
        <v/>
      </c>
      <c r="Y25" s="11" t="str">
        <f t="shared" si="10"/>
        <v/>
      </c>
      <c r="Z25" s="11" t="str">
        <f t="shared" si="10"/>
        <v/>
      </c>
      <c r="AA25" s="11" t="str">
        <f t="shared" si="10"/>
        <v/>
      </c>
      <c r="AB25" s="11" t="str">
        <f t="shared" si="10"/>
        <v/>
      </c>
      <c r="AC25" s="11" t="str">
        <f t="shared" si="10"/>
        <v/>
      </c>
      <c r="AD25" s="11" t="str">
        <f t="shared" si="10"/>
        <v/>
      </c>
      <c r="AE25" s="11" t="str">
        <f t="shared" si="10"/>
        <v/>
      </c>
      <c r="AF25" s="11" t="str">
        <f t="shared" si="10"/>
        <v/>
      </c>
      <c r="AG25" s="11" t="str">
        <f t="shared" si="10"/>
        <v/>
      </c>
      <c r="AH25" s="11" t="str">
        <f t="shared" si="10"/>
        <v/>
      </c>
      <c r="AI25" s="11" t="str">
        <f t="shared" si="11"/>
        <v/>
      </c>
      <c r="AJ25" s="11" t="str">
        <f t="shared" si="11"/>
        <v/>
      </c>
      <c r="AK25" s="11" t="str">
        <f t="shared" si="11"/>
        <v/>
      </c>
      <c r="AL25" s="11" t="str">
        <f t="shared" si="11"/>
        <v/>
      </c>
      <c r="AM25" s="11" t="str">
        <f t="shared" si="11"/>
        <v/>
      </c>
      <c r="AN25" s="11" t="str">
        <f t="shared" si="11"/>
        <v/>
      </c>
      <c r="AO25" s="11" t="str">
        <f t="shared" si="11"/>
        <v/>
      </c>
      <c r="AP25" s="11" t="str">
        <f t="shared" si="11"/>
        <v/>
      </c>
      <c r="AQ25" s="11" t="str">
        <f t="shared" si="11"/>
        <v/>
      </c>
      <c r="AR25" s="11" t="str">
        <f t="shared" si="11"/>
        <v/>
      </c>
      <c r="AS25" s="11" t="str">
        <f t="shared" si="11"/>
        <v/>
      </c>
      <c r="AT25" s="11" t="str">
        <f t="shared" si="11"/>
        <v/>
      </c>
      <c r="AU25" s="11" t="str">
        <f t="shared" si="11"/>
        <v/>
      </c>
      <c r="AV25" s="11" t="str">
        <f t="shared" si="11"/>
        <v/>
      </c>
    </row>
    <row r="26" spans="1:48" x14ac:dyDescent="0.25">
      <c r="A26" s="13">
        <f t="shared" si="8"/>
        <v>23</v>
      </c>
      <c r="B26" s="8" t="str">
        <f>Links!G25</f>
        <v>G23-MEP</v>
      </c>
      <c r="C26" s="11" t="str">
        <f t="shared" si="12"/>
        <v>G23-MEPA1</v>
      </c>
      <c r="D26" s="11" t="str">
        <f t="shared" si="12"/>
        <v>G23-MEPE2</v>
      </c>
      <c r="E26" s="11" t="str">
        <f t="shared" si="12"/>
        <v>G23-MEPW3</v>
      </c>
      <c r="F26" s="11" t="str">
        <f t="shared" si="12"/>
        <v>G23-MEPA4</v>
      </c>
      <c r="G26" s="11" t="str">
        <f t="shared" si="12"/>
        <v>G23-MEPI5</v>
      </c>
      <c r="H26" s="11" t="str">
        <f t="shared" si="12"/>
        <v>G23-MEPK6</v>
      </c>
      <c r="I26" s="11" t="str">
        <f t="shared" si="12"/>
        <v>G23-MEPT7</v>
      </c>
      <c r="J26" s="11" t="str">
        <f t="shared" si="12"/>
        <v>G23-MEPF8</v>
      </c>
      <c r="K26" s="11" t="str">
        <f t="shared" si="12"/>
        <v>G23-MEPS9</v>
      </c>
      <c r="L26" s="11" t="str">
        <f t="shared" si="12"/>
        <v>G23-MEPA10</v>
      </c>
      <c r="M26" s="11" t="str">
        <f t="shared" si="12"/>
        <v>G23-MEPG11</v>
      </c>
      <c r="N26" s="11" t="str">
        <f t="shared" si="12"/>
        <v>G23-MEPM12</v>
      </c>
      <c r="O26" s="11" t="str">
        <f t="shared" si="12"/>
        <v>G23-MEPG13</v>
      </c>
      <c r="P26" s="11" t="str">
        <f t="shared" si="12"/>
        <v>G23-MEPH14</v>
      </c>
      <c r="Q26" s="11" t="str">
        <f t="shared" si="12"/>
        <v>G23-MEPA15</v>
      </c>
      <c r="R26" s="11" t="str">
        <f t="shared" si="12"/>
        <v>G23-MEPA16</v>
      </c>
      <c r="S26" s="11" t="str">
        <f t="shared" si="10"/>
        <v>G23-MEPA17</v>
      </c>
      <c r="T26" s="11" t="str">
        <f t="shared" si="10"/>
        <v>G23-MEPJ18-MEP</v>
      </c>
      <c r="U26" s="11" t="str">
        <f t="shared" si="10"/>
        <v>G23-MEPE19-MEP</v>
      </c>
      <c r="V26" s="11" t="str">
        <f t="shared" si="10"/>
        <v>G23-MEPE20-MEP</v>
      </c>
      <c r="W26" s="11" t="str">
        <f t="shared" si="10"/>
        <v>G23-MEPS21-MEP</v>
      </c>
      <c r="X26" s="11" t="str">
        <f t="shared" si="10"/>
        <v/>
      </c>
      <c r="Y26" s="11" t="str">
        <f t="shared" si="10"/>
        <v>G23-MEPG23-MEP</v>
      </c>
      <c r="Z26" s="11" t="str">
        <f t="shared" si="10"/>
        <v>G23-MEPT24-MEP</v>
      </c>
      <c r="AA26" s="11" t="str">
        <f t="shared" si="10"/>
        <v>G23-MEPF25-MEP</v>
      </c>
      <c r="AB26" s="11" t="str">
        <f t="shared" si="10"/>
        <v>G23-MEPT26-MEP</v>
      </c>
      <c r="AC26" s="11" t="str">
        <f t="shared" si="10"/>
        <v>G23-MEPJ27-MEP</v>
      </c>
      <c r="AD26" s="11" t="str">
        <f t="shared" si="10"/>
        <v>G23-MEPA28-MEP</v>
      </c>
      <c r="AE26" s="11" t="str">
        <f t="shared" si="10"/>
        <v>G23-MEPG29</v>
      </c>
      <c r="AF26" s="11" t="str">
        <f t="shared" si="10"/>
        <v>G23-MEPF30</v>
      </c>
      <c r="AG26" s="11" t="str">
        <f t="shared" si="10"/>
        <v>G23-MEPR31-MEP</v>
      </c>
      <c r="AH26" s="11" t="str">
        <f t="shared" si="10"/>
        <v>G23-MEPM32-B</v>
      </c>
      <c r="AI26" s="11" t="str">
        <f t="shared" si="11"/>
        <v>G23-MEPI33-B</v>
      </c>
      <c r="AJ26" s="11" t="str">
        <f t="shared" si="11"/>
        <v>G23-MEPM34-B</v>
      </c>
      <c r="AK26" s="11" t="str">
        <f t="shared" si="11"/>
        <v>G23-MEPK35-B</v>
      </c>
      <c r="AL26" s="11" t="str">
        <f t="shared" si="11"/>
        <v>G23-MEPA36-B</v>
      </c>
      <c r="AM26" s="11" t="str">
        <f t="shared" si="11"/>
        <v>G23-MEPM37-B</v>
      </c>
      <c r="AN26" s="11" t="str">
        <f t="shared" si="11"/>
        <v>G23-MEPM38-MEP</v>
      </c>
      <c r="AO26" s="11" t="str">
        <f t="shared" si="11"/>
        <v/>
      </c>
      <c r="AP26" s="11" t="str">
        <f t="shared" si="11"/>
        <v>G23-MEPA40</v>
      </c>
      <c r="AQ26" s="11" t="str">
        <f t="shared" si="11"/>
        <v>G23-MEPH41</v>
      </c>
      <c r="AR26" s="11" t="str">
        <f t="shared" si="11"/>
        <v>G23-MEPM42</v>
      </c>
      <c r="AS26" s="11" t="str">
        <f t="shared" si="11"/>
        <v/>
      </c>
      <c r="AT26" s="11" t="str">
        <f t="shared" si="11"/>
        <v/>
      </c>
      <c r="AU26" s="11" t="str">
        <f t="shared" si="11"/>
        <v/>
      </c>
      <c r="AV26" s="11" t="str">
        <f t="shared" si="11"/>
        <v/>
      </c>
    </row>
    <row r="27" spans="1:48" x14ac:dyDescent="0.25">
      <c r="A27" s="13">
        <f t="shared" si="8"/>
        <v>24</v>
      </c>
      <c r="B27" s="8" t="str">
        <f>Links!G26</f>
        <v>T24-MEP</v>
      </c>
      <c r="C27" s="11" t="str">
        <f t="shared" si="12"/>
        <v>T24-MEPA1</v>
      </c>
      <c r="D27" s="11" t="str">
        <f t="shared" si="12"/>
        <v>T24-MEPE2</v>
      </c>
      <c r="E27" s="11" t="str">
        <f t="shared" si="12"/>
        <v>T24-MEPW3</v>
      </c>
      <c r="F27" s="11" t="str">
        <f t="shared" si="12"/>
        <v>T24-MEPA4</v>
      </c>
      <c r="G27" s="11" t="str">
        <f t="shared" si="12"/>
        <v>T24-MEPI5</v>
      </c>
      <c r="H27" s="11" t="str">
        <f t="shared" si="12"/>
        <v>T24-MEPK6</v>
      </c>
      <c r="I27" s="11" t="str">
        <f t="shared" si="12"/>
        <v>T24-MEPT7</v>
      </c>
      <c r="J27" s="11" t="str">
        <f t="shared" si="12"/>
        <v>T24-MEPF8</v>
      </c>
      <c r="K27" s="11" t="str">
        <f t="shared" si="12"/>
        <v>T24-MEPS9</v>
      </c>
      <c r="L27" s="11" t="str">
        <f t="shared" si="12"/>
        <v>T24-MEPA10</v>
      </c>
      <c r="M27" s="11" t="str">
        <f t="shared" si="12"/>
        <v>T24-MEPG11</v>
      </c>
      <c r="N27" s="11" t="str">
        <f t="shared" si="12"/>
        <v>T24-MEPM12</v>
      </c>
      <c r="O27" s="11" t="str">
        <f t="shared" si="12"/>
        <v>T24-MEPG13</v>
      </c>
      <c r="P27" s="11" t="str">
        <f t="shared" si="12"/>
        <v>T24-MEPH14</v>
      </c>
      <c r="Q27" s="11" t="str">
        <f t="shared" si="12"/>
        <v>T24-MEPA15</v>
      </c>
      <c r="R27" s="11" t="str">
        <f t="shared" si="12"/>
        <v>T24-MEPA16</v>
      </c>
      <c r="S27" s="11" t="str">
        <f t="shared" si="10"/>
        <v>T24-MEPA17</v>
      </c>
      <c r="T27" s="11" t="str">
        <f t="shared" si="10"/>
        <v>T24-MEPJ18-MEP</v>
      </c>
      <c r="U27" s="11" t="str">
        <f t="shared" si="10"/>
        <v>T24-MEPE19-MEP</v>
      </c>
      <c r="V27" s="11" t="str">
        <f t="shared" si="10"/>
        <v>T24-MEPE20-MEP</v>
      </c>
      <c r="W27" s="11" t="str">
        <f t="shared" si="10"/>
        <v>T24-MEPS21-MEP</v>
      </c>
      <c r="X27" s="11" t="str">
        <f t="shared" si="10"/>
        <v/>
      </c>
      <c r="Y27" s="11" t="str">
        <f t="shared" si="10"/>
        <v>T24-MEPG23-MEP</v>
      </c>
      <c r="Z27" s="11" t="str">
        <f t="shared" si="10"/>
        <v>T24-MEPT24-MEP</v>
      </c>
      <c r="AA27" s="11" t="str">
        <f t="shared" si="10"/>
        <v>T24-MEPF25-MEP</v>
      </c>
      <c r="AB27" s="11" t="str">
        <f t="shared" si="10"/>
        <v>T24-MEPT26-MEP</v>
      </c>
      <c r="AC27" s="11" t="str">
        <f t="shared" si="10"/>
        <v>T24-MEPJ27-MEP</v>
      </c>
      <c r="AD27" s="11" t="str">
        <f t="shared" si="10"/>
        <v>T24-MEPA28-MEP</v>
      </c>
      <c r="AE27" s="11" t="str">
        <f t="shared" si="10"/>
        <v>T24-MEPG29</v>
      </c>
      <c r="AF27" s="11" t="str">
        <f t="shared" si="10"/>
        <v>T24-MEPF30</v>
      </c>
      <c r="AG27" s="11" t="str">
        <f t="shared" si="10"/>
        <v>T24-MEPR31-MEP</v>
      </c>
      <c r="AH27" s="11" t="str">
        <f t="shared" si="10"/>
        <v>T24-MEPM32-B</v>
      </c>
      <c r="AI27" s="11" t="str">
        <f t="shared" si="11"/>
        <v>T24-MEPI33-B</v>
      </c>
      <c r="AJ27" s="11" t="str">
        <f t="shared" si="11"/>
        <v>T24-MEPM34-B</v>
      </c>
      <c r="AK27" s="11" t="str">
        <f t="shared" si="11"/>
        <v>T24-MEPK35-B</v>
      </c>
      <c r="AL27" s="11" t="str">
        <f t="shared" si="11"/>
        <v>T24-MEPA36-B</v>
      </c>
      <c r="AM27" s="11" t="str">
        <f t="shared" si="11"/>
        <v>T24-MEPM37-B</v>
      </c>
      <c r="AN27" s="11" t="str">
        <f t="shared" si="11"/>
        <v>T24-MEPM38-MEP</v>
      </c>
      <c r="AO27" s="11" t="str">
        <f t="shared" si="11"/>
        <v/>
      </c>
      <c r="AP27" s="11" t="str">
        <f t="shared" si="11"/>
        <v>T24-MEPA40</v>
      </c>
      <c r="AQ27" s="11" t="str">
        <f t="shared" si="11"/>
        <v>T24-MEPH41</v>
      </c>
      <c r="AR27" s="11" t="str">
        <f t="shared" si="11"/>
        <v>T24-MEPM42</v>
      </c>
      <c r="AS27" s="11" t="str">
        <f t="shared" si="11"/>
        <v/>
      </c>
      <c r="AT27" s="11" t="str">
        <f t="shared" si="11"/>
        <v/>
      </c>
      <c r="AU27" s="11" t="str">
        <f t="shared" si="11"/>
        <v/>
      </c>
      <c r="AV27" s="11" t="str">
        <f t="shared" si="11"/>
        <v/>
      </c>
    </row>
    <row r="28" spans="1:48" x14ac:dyDescent="0.25">
      <c r="A28" s="13">
        <f t="shared" si="8"/>
        <v>25</v>
      </c>
      <c r="B28" s="8" t="str">
        <f>Links!G27</f>
        <v>F25-MEP</v>
      </c>
      <c r="C28" s="11" t="str">
        <f t="shared" si="12"/>
        <v>F25-MEPA1</v>
      </c>
      <c r="D28" s="11" t="str">
        <f t="shared" si="12"/>
        <v>F25-MEPE2</v>
      </c>
      <c r="E28" s="11" t="str">
        <f t="shared" si="12"/>
        <v>F25-MEPW3</v>
      </c>
      <c r="F28" s="11" t="str">
        <f t="shared" si="12"/>
        <v>F25-MEPA4</v>
      </c>
      <c r="G28" s="11" t="str">
        <f t="shared" si="12"/>
        <v>F25-MEPI5</v>
      </c>
      <c r="H28" s="11" t="str">
        <f t="shared" si="12"/>
        <v>F25-MEPK6</v>
      </c>
      <c r="I28" s="11" t="str">
        <f t="shared" si="12"/>
        <v>F25-MEPT7</v>
      </c>
      <c r="J28" s="11" t="str">
        <f t="shared" si="12"/>
        <v>F25-MEPF8</v>
      </c>
      <c r="K28" s="11" t="str">
        <f t="shared" si="12"/>
        <v>F25-MEPS9</v>
      </c>
      <c r="L28" s="11" t="str">
        <f t="shared" si="12"/>
        <v>F25-MEPA10</v>
      </c>
      <c r="M28" s="11" t="str">
        <f t="shared" si="12"/>
        <v>F25-MEPG11</v>
      </c>
      <c r="N28" s="11" t="str">
        <f t="shared" si="12"/>
        <v>F25-MEPM12</v>
      </c>
      <c r="O28" s="11" t="str">
        <f t="shared" si="12"/>
        <v>F25-MEPG13</v>
      </c>
      <c r="P28" s="11" t="str">
        <f t="shared" si="12"/>
        <v>F25-MEPH14</v>
      </c>
      <c r="Q28" s="11" t="str">
        <f t="shared" si="12"/>
        <v>F25-MEPA15</v>
      </c>
      <c r="R28" s="11" t="str">
        <f t="shared" si="12"/>
        <v>F25-MEPA16</v>
      </c>
      <c r="S28" s="11" t="str">
        <f t="shared" si="10"/>
        <v>F25-MEPA17</v>
      </c>
      <c r="T28" s="11" t="str">
        <f t="shared" si="10"/>
        <v>F25-MEPJ18-MEP</v>
      </c>
      <c r="U28" s="11" t="str">
        <f t="shared" si="10"/>
        <v>F25-MEPE19-MEP</v>
      </c>
      <c r="V28" s="11" t="str">
        <f t="shared" si="10"/>
        <v>F25-MEPE20-MEP</v>
      </c>
      <c r="W28" s="11" t="str">
        <f t="shared" si="10"/>
        <v>F25-MEPS21-MEP</v>
      </c>
      <c r="X28" s="11" t="str">
        <f t="shared" si="10"/>
        <v/>
      </c>
      <c r="Y28" s="11" t="str">
        <f t="shared" si="10"/>
        <v>F25-MEPG23-MEP</v>
      </c>
      <c r="Z28" s="11" t="str">
        <f t="shared" si="10"/>
        <v>F25-MEPT24-MEP</v>
      </c>
      <c r="AA28" s="11" t="str">
        <f t="shared" si="10"/>
        <v>F25-MEPF25-MEP</v>
      </c>
      <c r="AB28" s="11" t="str">
        <f t="shared" si="10"/>
        <v>F25-MEPT26-MEP</v>
      </c>
      <c r="AC28" s="11" t="str">
        <f t="shared" si="10"/>
        <v>F25-MEPJ27-MEP</v>
      </c>
      <c r="AD28" s="11" t="str">
        <f t="shared" si="10"/>
        <v>F25-MEPA28-MEP</v>
      </c>
      <c r="AE28" s="11" t="str">
        <f t="shared" si="10"/>
        <v>F25-MEPG29</v>
      </c>
      <c r="AF28" s="11" t="str">
        <f t="shared" si="10"/>
        <v>F25-MEPF30</v>
      </c>
      <c r="AG28" s="11" t="str">
        <f t="shared" si="10"/>
        <v>F25-MEPR31-MEP</v>
      </c>
      <c r="AH28" s="11" t="str">
        <f t="shared" si="10"/>
        <v>F25-MEPM32-B</v>
      </c>
      <c r="AI28" s="11" t="str">
        <f t="shared" si="11"/>
        <v>F25-MEPI33-B</v>
      </c>
      <c r="AJ28" s="11" t="str">
        <f t="shared" si="11"/>
        <v>F25-MEPM34-B</v>
      </c>
      <c r="AK28" s="11" t="str">
        <f t="shared" si="11"/>
        <v>F25-MEPK35-B</v>
      </c>
      <c r="AL28" s="11" t="str">
        <f t="shared" si="11"/>
        <v>F25-MEPA36-B</v>
      </c>
      <c r="AM28" s="11" t="str">
        <f t="shared" si="11"/>
        <v>F25-MEPM37-B</v>
      </c>
      <c r="AN28" s="11" t="str">
        <f t="shared" si="11"/>
        <v>F25-MEPM38-MEP</v>
      </c>
      <c r="AO28" s="11" t="str">
        <f t="shared" si="11"/>
        <v/>
      </c>
      <c r="AP28" s="11" t="str">
        <f t="shared" si="11"/>
        <v>F25-MEPA40</v>
      </c>
      <c r="AQ28" s="11" t="str">
        <f t="shared" si="11"/>
        <v>F25-MEPH41</v>
      </c>
      <c r="AR28" s="11" t="str">
        <f t="shared" si="11"/>
        <v>F25-MEPM42</v>
      </c>
      <c r="AS28" s="11" t="str">
        <f t="shared" si="11"/>
        <v/>
      </c>
      <c r="AT28" s="11" t="str">
        <f t="shared" si="11"/>
        <v/>
      </c>
      <c r="AU28" s="11" t="str">
        <f t="shared" si="11"/>
        <v/>
      </c>
      <c r="AV28" s="11" t="str">
        <f t="shared" si="11"/>
        <v/>
      </c>
    </row>
    <row r="29" spans="1:48" x14ac:dyDescent="0.25">
      <c r="A29" s="13">
        <f t="shared" si="8"/>
        <v>26</v>
      </c>
      <c r="B29" s="8" t="str">
        <f>Links!G28</f>
        <v>T26-MEP</v>
      </c>
      <c r="C29" s="11" t="str">
        <f t="shared" si="12"/>
        <v>T26-MEPA1</v>
      </c>
      <c r="D29" s="11" t="str">
        <f t="shared" si="12"/>
        <v>T26-MEPE2</v>
      </c>
      <c r="E29" s="11" t="str">
        <f t="shared" si="12"/>
        <v>T26-MEPW3</v>
      </c>
      <c r="F29" s="11" t="str">
        <f t="shared" si="12"/>
        <v>T26-MEPA4</v>
      </c>
      <c r="G29" s="11" t="str">
        <f t="shared" si="12"/>
        <v>T26-MEPI5</v>
      </c>
      <c r="H29" s="11" t="str">
        <f t="shared" si="12"/>
        <v>T26-MEPK6</v>
      </c>
      <c r="I29" s="11" t="str">
        <f t="shared" si="12"/>
        <v>T26-MEPT7</v>
      </c>
      <c r="J29" s="11" t="str">
        <f t="shared" si="12"/>
        <v>T26-MEPF8</v>
      </c>
      <c r="K29" s="11" t="str">
        <f t="shared" si="12"/>
        <v>T26-MEPS9</v>
      </c>
      <c r="L29" s="11" t="str">
        <f t="shared" si="12"/>
        <v>T26-MEPA10</v>
      </c>
      <c r="M29" s="11" t="str">
        <f t="shared" si="12"/>
        <v>T26-MEPG11</v>
      </c>
      <c r="N29" s="11" t="str">
        <f t="shared" si="12"/>
        <v>T26-MEPM12</v>
      </c>
      <c r="O29" s="11" t="str">
        <f t="shared" si="12"/>
        <v>T26-MEPG13</v>
      </c>
      <c r="P29" s="11" t="str">
        <f t="shared" si="12"/>
        <v>T26-MEPH14</v>
      </c>
      <c r="Q29" s="11" t="str">
        <f t="shared" si="12"/>
        <v>T26-MEPA15</v>
      </c>
      <c r="R29" s="11" t="str">
        <f t="shared" si="12"/>
        <v>T26-MEPA16</v>
      </c>
      <c r="S29" s="11" t="str">
        <f t="shared" si="10"/>
        <v>T26-MEPA17</v>
      </c>
      <c r="T29" s="11" t="str">
        <f t="shared" si="10"/>
        <v>T26-MEPJ18-MEP</v>
      </c>
      <c r="U29" s="11" t="str">
        <f t="shared" si="10"/>
        <v>T26-MEPE19-MEP</v>
      </c>
      <c r="V29" s="11" t="str">
        <f t="shared" si="10"/>
        <v>T26-MEPE20-MEP</v>
      </c>
      <c r="W29" s="11" t="str">
        <f t="shared" si="10"/>
        <v>T26-MEPS21-MEP</v>
      </c>
      <c r="X29" s="11" t="str">
        <f t="shared" si="10"/>
        <v/>
      </c>
      <c r="Y29" s="11" t="str">
        <f t="shared" si="10"/>
        <v>T26-MEPG23-MEP</v>
      </c>
      <c r="Z29" s="11" t="str">
        <f t="shared" si="10"/>
        <v>T26-MEPT24-MEP</v>
      </c>
      <c r="AA29" s="11" t="str">
        <f t="shared" si="10"/>
        <v>T26-MEPF25-MEP</v>
      </c>
      <c r="AB29" s="11" t="str">
        <f t="shared" si="10"/>
        <v>T26-MEPT26-MEP</v>
      </c>
      <c r="AC29" s="11" t="str">
        <f t="shared" si="10"/>
        <v>T26-MEPJ27-MEP</v>
      </c>
      <c r="AD29" s="11" t="str">
        <f t="shared" si="10"/>
        <v>T26-MEPA28-MEP</v>
      </c>
      <c r="AE29" s="11" t="str">
        <f t="shared" si="10"/>
        <v>T26-MEPG29</v>
      </c>
      <c r="AF29" s="11" t="str">
        <f t="shared" si="10"/>
        <v>T26-MEPF30</v>
      </c>
      <c r="AG29" s="11" t="str">
        <f t="shared" si="10"/>
        <v>T26-MEPR31-MEP</v>
      </c>
      <c r="AH29" s="11" t="str">
        <f t="shared" si="10"/>
        <v>T26-MEPM32-B</v>
      </c>
      <c r="AI29" s="11" t="str">
        <f t="shared" si="11"/>
        <v>T26-MEPI33-B</v>
      </c>
      <c r="AJ29" s="11" t="str">
        <f t="shared" si="11"/>
        <v>T26-MEPM34-B</v>
      </c>
      <c r="AK29" s="11" t="str">
        <f t="shared" si="11"/>
        <v>T26-MEPK35-B</v>
      </c>
      <c r="AL29" s="11" t="str">
        <f t="shared" si="11"/>
        <v>T26-MEPA36-B</v>
      </c>
      <c r="AM29" s="11" t="str">
        <f t="shared" si="11"/>
        <v>T26-MEPM37-B</v>
      </c>
      <c r="AN29" s="11" t="str">
        <f t="shared" si="11"/>
        <v>T26-MEPM38-MEP</v>
      </c>
      <c r="AO29" s="11" t="str">
        <f t="shared" si="11"/>
        <v/>
      </c>
      <c r="AP29" s="11" t="str">
        <f t="shared" si="11"/>
        <v>T26-MEPA40</v>
      </c>
      <c r="AQ29" s="11" t="str">
        <f t="shared" si="11"/>
        <v>T26-MEPH41</v>
      </c>
      <c r="AR29" s="11" t="str">
        <f t="shared" si="11"/>
        <v>T26-MEPM42</v>
      </c>
      <c r="AS29" s="11" t="str">
        <f t="shared" si="11"/>
        <v/>
      </c>
      <c r="AT29" s="11" t="str">
        <f t="shared" si="11"/>
        <v/>
      </c>
      <c r="AU29" s="11" t="str">
        <f t="shared" si="11"/>
        <v/>
      </c>
      <c r="AV29" s="11" t="str">
        <f t="shared" si="11"/>
        <v/>
      </c>
    </row>
    <row r="30" spans="1:48" x14ac:dyDescent="0.25">
      <c r="A30" s="13">
        <f t="shared" si="8"/>
        <v>27</v>
      </c>
      <c r="B30" s="8" t="str">
        <f>Links!G29</f>
        <v>J27-MEP</v>
      </c>
      <c r="C30" s="11" t="str">
        <f t="shared" si="12"/>
        <v>J27-MEPA1</v>
      </c>
      <c r="D30" s="11" t="str">
        <f t="shared" si="12"/>
        <v>J27-MEPE2</v>
      </c>
      <c r="E30" s="11" t="str">
        <f t="shared" si="12"/>
        <v>J27-MEPW3</v>
      </c>
      <c r="F30" s="11" t="str">
        <f t="shared" si="12"/>
        <v>J27-MEPA4</v>
      </c>
      <c r="G30" s="11" t="str">
        <f t="shared" si="12"/>
        <v>J27-MEPI5</v>
      </c>
      <c r="H30" s="11" t="str">
        <f t="shared" si="12"/>
        <v>J27-MEPK6</v>
      </c>
      <c r="I30" s="11" t="str">
        <f t="shared" si="12"/>
        <v>J27-MEPT7</v>
      </c>
      <c r="J30" s="11" t="str">
        <f t="shared" si="12"/>
        <v>J27-MEPF8</v>
      </c>
      <c r="K30" s="11" t="str">
        <f t="shared" si="12"/>
        <v>J27-MEPS9</v>
      </c>
      <c r="L30" s="11" t="str">
        <f t="shared" si="12"/>
        <v>J27-MEPA10</v>
      </c>
      <c r="M30" s="11" t="str">
        <f t="shared" si="12"/>
        <v>J27-MEPG11</v>
      </c>
      <c r="N30" s="11" t="str">
        <f t="shared" si="12"/>
        <v>J27-MEPM12</v>
      </c>
      <c r="O30" s="11" t="str">
        <f t="shared" si="12"/>
        <v>J27-MEPG13</v>
      </c>
      <c r="P30" s="11" t="str">
        <f t="shared" si="12"/>
        <v>J27-MEPH14</v>
      </c>
      <c r="Q30" s="11" t="str">
        <f t="shared" si="12"/>
        <v>J27-MEPA15</v>
      </c>
      <c r="R30" s="11" t="str">
        <f t="shared" si="12"/>
        <v>J27-MEPA16</v>
      </c>
      <c r="S30" s="11" t="str">
        <f t="shared" si="10"/>
        <v>J27-MEPA17</v>
      </c>
      <c r="T30" s="11" t="str">
        <f t="shared" si="10"/>
        <v>J27-MEPJ18-MEP</v>
      </c>
      <c r="U30" s="11" t="str">
        <f t="shared" si="10"/>
        <v>J27-MEPE19-MEP</v>
      </c>
      <c r="V30" s="11" t="str">
        <f t="shared" si="10"/>
        <v>J27-MEPE20-MEP</v>
      </c>
      <c r="W30" s="11" t="str">
        <f t="shared" si="10"/>
        <v>J27-MEPS21-MEP</v>
      </c>
      <c r="X30" s="11" t="str">
        <f t="shared" si="10"/>
        <v/>
      </c>
      <c r="Y30" s="11" t="str">
        <f t="shared" si="10"/>
        <v>J27-MEPG23-MEP</v>
      </c>
      <c r="Z30" s="11" t="str">
        <f t="shared" si="10"/>
        <v>J27-MEPT24-MEP</v>
      </c>
      <c r="AA30" s="11" t="str">
        <f t="shared" si="10"/>
        <v>J27-MEPF25-MEP</v>
      </c>
      <c r="AB30" s="11" t="str">
        <f t="shared" si="10"/>
        <v>J27-MEPT26-MEP</v>
      </c>
      <c r="AC30" s="11" t="str">
        <f t="shared" si="10"/>
        <v>J27-MEPJ27-MEP</v>
      </c>
      <c r="AD30" s="11" t="str">
        <f t="shared" si="10"/>
        <v>J27-MEPA28-MEP</v>
      </c>
      <c r="AE30" s="11" t="str">
        <f t="shared" si="10"/>
        <v>J27-MEPG29</v>
      </c>
      <c r="AF30" s="11" t="str">
        <f t="shared" si="10"/>
        <v>J27-MEPF30</v>
      </c>
      <c r="AG30" s="11" t="str">
        <f t="shared" si="10"/>
        <v>J27-MEPR31-MEP</v>
      </c>
      <c r="AH30" s="11" t="str">
        <f t="shared" si="10"/>
        <v>J27-MEPM32-B</v>
      </c>
      <c r="AI30" s="11" t="str">
        <f t="shared" si="11"/>
        <v>J27-MEPI33-B</v>
      </c>
      <c r="AJ30" s="11" t="str">
        <f t="shared" si="11"/>
        <v>J27-MEPM34-B</v>
      </c>
      <c r="AK30" s="11" t="str">
        <f t="shared" si="11"/>
        <v>J27-MEPK35-B</v>
      </c>
      <c r="AL30" s="11" t="str">
        <f t="shared" si="11"/>
        <v>J27-MEPA36-B</v>
      </c>
      <c r="AM30" s="11" t="str">
        <f t="shared" si="11"/>
        <v>J27-MEPM37-B</v>
      </c>
      <c r="AN30" s="11" t="str">
        <f t="shared" si="11"/>
        <v>J27-MEPM38-MEP</v>
      </c>
      <c r="AO30" s="11" t="str">
        <f t="shared" si="11"/>
        <v/>
      </c>
      <c r="AP30" s="11" t="str">
        <f t="shared" si="11"/>
        <v>J27-MEPA40</v>
      </c>
      <c r="AQ30" s="11" t="str">
        <f t="shared" si="11"/>
        <v>J27-MEPH41</v>
      </c>
      <c r="AR30" s="11" t="str">
        <f t="shared" si="11"/>
        <v>J27-MEPM42</v>
      </c>
      <c r="AS30" s="11" t="str">
        <f t="shared" si="11"/>
        <v/>
      </c>
      <c r="AT30" s="11" t="str">
        <f t="shared" si="11"/>
        <v/>
      </c>
      <c r="AU30" s="11" t="str">
        <f t="shared" si="11"/>
        <v/>
      </c>
      <c r="AV30" s="11" t="str">
        <f t="shared" si="11"/>
        <v/>
      </c>
    </row>
    <row r="31" spans="1:48" x14ac:dyDescent="0.25">
      <c r="A31" s="13">
        <f t="shared" si="8"/>
        <v>28</v>
      </c>
      <c r="B31" s="8" t="str">
        <f>Links!G30</f>
        <v>A28-MEP</v>
      </c>
      <c r="C31" s="11" t="str">
        <f t="shared" si="12"/>
        <v>A28-MEPA1</v>
      </c>
      <c r="D31" s="11" t="str">
        <f t="shared" si="12"/>
        <v>A28-MEPE2</v>
      </c>
      <c r="E31" s="11" t="str">
        <f t="shared" si="12"/>
        <v>A28-MEPW3</v>
      </c>
      <c r="F31" s="11" t="str">
        <f t="shared" si="12"/>
        <v>A28-MEPA4</v>
      </c>
      <c r="G31" s="11" t="str">
        <f t="shared" si="12"/>
        <v>A28-MEPI5</v>
      </c>
      <c r="H31" s="11" t="str">
        <f t="shared" si="12"/>
        <v>A28-MEPK6</v>
      </c>
      <c r="I31" s="11" t="str">
        <f t="shared" si="12"/>
        <v>A28-MEPT7</v>
      </c>
      <c r="J31" s="11" t="str">
        <f t="shared" si="12"/>
        <v>A28-MEPF8</v>
      </c>
      <c r="K31" s="11" t="str">
        <f t="shared" si="12"/>
        <v>A28-MEPS9</v>
      </c>
      <c r="L31" s="11" t="str">
        <f t="shared" si="12"/>
        <v>A28-MEPA10</v>
      </c>
      <c r="M31" s="11" t="str">
        <f t="shared" si="12"/>
        <v>A28-MEPG11</v>
      </c>
      <c r="N31" s="11" t="str">
        <f t="shared" si="12"/>
        <v>A28-MEPM12</v>
      </c>
      <c r="O31" s="11" t="str">
        <f t="shared" si="12"/>
        <v>A28-MEPG13</v>
      </c>
      <c r="P31" s="11" t="str">
        <f t="shared" si="12"/>
        <v>A28-MEPH14</v>
      </c>
      <c r="Q31" s="11" t="str">
        <f t="shared" si="12"/>
        <v>A28-MEPA15</v>
      </c>
      <c r="R31" s="11" t="str">
        <f t="shared" si="12"/>
        <v>A28-MEPA16</v>
      </c>
      <c r="S31" s="11" t="str">
        <f t="shared" si="10"/>
        <v>A28-MEPA17</v>
      </c>
      <c r="T31" s="11" t="str">
        <f t="shared" si="10"/>
        <v>A28-MEPJ18-MEP</v>
      </c>
      <c r="U31" s="11" t="str">
        <f t="shared" si="10"/>
        <v>A28-MEPE19-MEP</v>
      </c>
      <c r="V31" s="11" t="str">
        <f t="shared" si="10"/>
        <v>A28-MEPE20-MEP</v>
      </c>
      <c r="W31" s="11" t="str">
        <f t="shared" si="10"/>
        <v>A28-MEPS21-MEP</v>
      </c>
      <c r="X31" s="11" t="str">
        <f t="shared" si="10"/>
        <v/>
      </c>
      <c r="Y31" s="11" t="str">
        <f t="shared" si="10"/>
        <v>A28-MEPG23-MEP</v>
      </c>
      <c r="Z31" s="11" t="str">
        <f t="shared" si="10"/>
        <v>A28-MEPT24-MEP</v>
      </c>
      <c r="AA31" s="11" t="str">
        <f t="shared" si="10"/>
        <v>A28-MEPF25-MEP</v>
      </c>
      <c r="AB31" s="11" t="str">
        <f t="shared" si="10"/>
        <v>A28-MEPT26-MEP</v>
      </c>
      <c r="AC31" s="11" t="str">
        <f t="shared" si="10"/>
        <v>A28-MEPJ27-MEP</v>
      </c>
      <c r="AD31" s="11" t="str">
        <f t="shared" si="10"/>
        <v>A28-MEPA28-MEP</v>
      </c>
      <c r="AE31" s="11" t="str">
        <f t="shared" si="10"/>
        <v>A28-MEPG29</v>
      </c>
      <c r="AF31" s="11" t="str">
        <f t="shared" si="10"/>
        <v>A28-MEPF30</v>
      </c>
      <c r="AG31" s="11" t="str">
        <f t="shared" si="10"/>
        <v>A28-MEPR31-MEP</v>
      </c>
      <c r="AH31" s="11" t="str">
        <f t="shared" si="10"/>
        <v>A28-MEPM32-B</v>
      </c>
      <c r="AI31" s="11" t="str">
        <f t="shared" si="11"/>
        <v>A28-MEPI33-B</v>
      </c>
      <c r="AJ31" s="11" t="str">
        <f t="shared" si="11"/>
        <v>A28-MEPM34-B</v>
      </c>
      <c r="AK31" s="11" t="str">
        <f t="shared" si="11"/>
        <v>A28-MEPK35-B</v>
      </c>
      <c r="AL31" s="11" t="str">
        <f t="shared" si="11"/>
        <v>A28-MEPA36-B</v>
      </c>
      <c r="AM31" s="11" t="str">
        <f t="shared" si="11"/>
        <v>A28-MEPM37-B</v>
      </c>
      <c r="AN31" s="11" t="str">
        <f t="shared" si="11"/>
        <v>A28-MEPM38-MEP</v>
      </c>
      <c r="AO31" s="11" t="str">
        <f t="shared" si="11"/>
        <v/>
      </c>
      <c r="AP31" s="11" t="str">
        <f t="shared" si="11"/>
        <v>A28-MEPA40</v>
      </c>
      <c r="AQ31" s="11" t="str">
        <f t="shared" si="11"/>
        <v>A28-MEPH41</v>
      </c>
      <c r="AR31" s="11" t="str">
        <f t="shared" si="11"/>
        <v>A28-MEPM42</v>
      </c>
      <c r="AS31" s="11" t="str">
        <f t="shared" si="11"/>
        <v/>
      </c>
      <c r="AT31" s="11" t="str">
        <f t="shared" si="11"/>
        <v/>
      </c>
      <c r="AU31" s="11" t="str">
        <f t="shared" si="11"/>
        <v/>
      </c>
      <c r="AV31" s="11" t="str">
        <f t="shared" si="11"/>
        <v/>
      </c>
    </row>
    <row r="32" spans="1:48" x14ac:dyDescent="0.25">
      <c r="A32" s="13">
        <f t="shared" si="8"/>
        <v>29</v>
      </c>
      <c r="B32" s="8" t="str">
        <f>Links!G31</f>
        <v>G29</v>
      </c>
      <c r="C32" s="11" t="str">
        <f t="shared" si="12"/>
        <v>G29A1</v>
      </c>
      <c r="D32" s="11" t="str">
        <f t="shared" si="12"/>
        <v>G29E2</v>
      </c>
      <c r="E32" s="11" t="str">
        <f t="shared" si="12"/>
        <v>G29W3</v>
      </c>
      <c r="F32" s="11" t="str">
        <f t="shared" si="12"/>
        <v>G29A4</v>
      </c>
      <c r="G32" s="11" t="str">
        <f t="shared" si="12"/>
        <v>G29I5</v>
      </c>
      <c r="H32" s="11" t="str">
        <f t="shared" si="12"/>
        <v>G29K6</v>
      </c>
      <c r="I32" s="11" t="str">
        <f t="shared" si="12"/>
        <v>G29T7</v>
      </c>
      <c r="J32" s="11" t="str">
        <f t="shared" si="12"/>
        <v>G29F8</v>
      </c>
      <c r="K32" s="11" t="str">
        <f t="shared" si="12"/>
        <v>G29S9</v>
      </c>
      <c r="L32" s="11" t="str">
        <f t="shared" si="12"/>
        <v>G29A10</v>
      </c>
      <c r="M32" s="11" t="str">
        <f t="shared" si="12"/>
        <v>G29G11</v>
      </c>
      <c r="N32" s="11" t="str">
        <f t="shared" si="12"/>
        <v>G29M12</v>
      </c>
      <c r="O32" s="11" t="str">
        <f t="shared" si="12"/>
        <v>G29G13</v>
      </c>
      <c r="P32" s="11" t="str">
        <f t="shared" si="12"/>
        <v>G29H14</v>
      </c>
      <c r="Q32" s="11" t="str">
        <f t="shared" si="12"/>
        <v>G29A15</v>
      </c>
      <c r="R32" s="11" t="str">
        <f t="shared" si="12"/>
        <v>G29A16</v>
      </c>
      <c r="S32" s="11" t="str">
        <f t="shared" si="10"/>
        <v>G29A17</v>
      </c>
      <c r="T32" s="11" t="str">
        <f t="shared" si="10"/>
        <v>G29J18-MEP</v>
      </c>
      <c r="U32" s="11" t="str">
        <f t="shared" si="10"/>
        <v>G29E19-MEP</v>
      </c>
      <c r="V32" s="11" t="str">
        <f t="shared" si="10"/>
        <v>G29E20-MEP</v>
      </c>
      <c r="W32" s="11" t="str">
        <f t="shared" si="10"/>
        <v>G29S21-MEP</v>
      </c>
      <c r="X32" s="11" t="str">
        <f t="shared" si="10"/>
        <v/>
      </c>
      <c r="Y32" s="11" t="str">
        <f t="shared" si="10"/>
        <v>G29G23-MEP</v>
      </c>
      <c r="Z32" s="11" t="str">
        <f t="shared" si="10"/>
        <v>G29T24-MEP</v>
      </c>
      <c r="AA32" s="11" t="str">
        <f t="shared" si="10"/>
        <v>G29F25-MEP</v>
      </c>
      <c r="AB32" s="11" t="str">
        <f t="shared" si="10"/>
        <v>G29T26-MEP</v>
      </c>
      <c r="AC32" s="11" t="str">
        <f t="shared" si="10"/>
        <v>G29J27-MEP</v>
      </c>
      <c r="AD32" s="11" t="str">
        <f t="shared" si="10"/>
        <v>G29A28-MEP</v>
      </c>
      <c r="AE32" s="11" t="str">
        <f t="shared" si="10"/>
        <v>G29G29</v>
      </c>
      <c r="AF32" s="11" t="str">
        <f t="shared" si="10"/>
        <v>G29F30</v>
      </c>
      <c r="AG32" s="11" t="str">
        <f t="shared" si="10"/>
        <v>G29R31-MEP</v>
      </c>
      <c r="AH32" s="11" t="str">
        <f t="shared" si="10"/>
        <v>G29M32-B</v>
      </c>
      <c r="AI32" s="11" t="str">
        <f t="shared" si="11"/>
        <v>G29I33-B</v>
      </c>
      <c r="AJ32" s="11" t="str">
        <f t="shared" si="11"/>
        <v>G29M34-B</v>
      </c>
      <c r="AK32" s="11" t="str">
        <f t="shared" si="11"/>
        <v>G29K35-B</v>
      </c>
      <c r="AL32" s="11" t="str">
        <f t="shared" si="11"/>
        <v>G29A36-B</v>
      </c>
      <c r="AM32" s="11" t="str">
        <f t="shared" si="11"/>
        <v>G29M37-B</v>
      </c>
      <c r="AN32" s="11" t="str">
        <f t="shared" si="11"/>
        <v>G29M38-MEP</v>
      </c>
      <c r="AO32" s="11" t="str">
        <f t="shared" si="11"/>
        <v/>
      </c>
      <c r="AP32" s="11" t="str">
        <f t="shared" si="11"/>
        <v>G29A40</v>
      </c>
      <c r="AQ32" s="11" t="str">
        <f t="shared" si="11"/>
        <v>G29H41</v>
      </c>
      <c r="AR32" s="11" t="str">
        <f t="shared" si="11"/>
        <v>G29M42</v>
      </c>
      <c r="AS32" s="11" t="str">
        <f t="shared" si="11"/>
        <v/>
      </c>
      <c r="AT32" s="11" t="str">
        <f t="shared" si="11"/>
        <v/>
      </c>
      <c r="AU32" s="11" t="str">
        <f t="shared" si="11"/>
        <v/>
      </c>
      <c r="AV32" s="11" t="str">
        <f t="shared" si="11"/>
        <v/>
      </c>
    </row>
    <row r="33" spans="1:48" x14ac:dyDescent="0.25">
      <c r="A33" s="13">
        <f t="shared" si="8"/>
        <v>30</v>
      </c>
      <c r="B33" s="8" t="str">
        <f>Links!G32</f>
        <v>F30</v>
      </c>
      <c r="C33" s="11" t="str">
        <f t="shared" si="12"/>
        <v>F30A1</v>
      </c>
      <c r="D33" s="11" t="str">
        <f t="shared" si="12"/>
        <v>F30E2</v>
      </c>
      <c r="E33" s="11" t="str">
        <f t="shared" si="12"/>
        <v>F30W3</v>
      </c>
      <c r="F33" s="11" t="str">
        <f t="shared" si="12"/>
        <v>F30A4</v>
      </c>
      <c r="G33" s="11" t="str">
        <f t="shared" si="12"/>
        <v>F30I5</v>
      </c>
      <c r="H33" s="11" t="str">
        <f t="shared" si="12"/>
        <v>F30K6</v>
      </c>
      <c r="I33" s="11" t="str">
        <f t="shared" si="12"/>
        <v>F30T7</v>
      </c>
      <c r="J33" s="11" t="str">
        <f t="shared" si="12"/>
        <v>F30F8</v>
      </c>
      <c r="K33" s="11" t="str">
        <f t="shared" si="12"/>
        <v>F30S9</v>
      </c>
      <c r="L33" s="11" t="str">
        <f t="shared" si="12"/>
        <v>F30A10</v>
      </c>
      <c r="M33" s="11" t="str">
        <f t="shared" si="12"/>
        <v>F30G11</v>
      </c>
      <c r="N33" s="11" t="str">
        <f t="shared" si="12"/>
        <v>F30M12</v>
      </c>
      <c r="O33" s="11" t="str">
        <f t="shared" si="12"/>
        <v>F30G13</v>
      </c>
      <c r="P33" s="11" t="str">
        <f t="shared" si="12"/>
        <v>F30H14</v>
      </c>
      <c r="Q33" s="11" t="str">
        <f t="shared" si="12"/>
        <v>F30A15</v>
      </c>
      <c r="R33" s="11" t="str">
        <f t="shared" si="12"/>
        <v>F30A16</v>
      </c>
      <c r="S33" s="11" t="str">
        <f t="shared" si="10"/>
        <v>F30A17</v>
      </c>
      <c r="T33" s="11" t="str">
        <f t="shared" si="10"/>
        <v>F30J18-MEP</v>
      </c>
      <c r="U33" s="11" t="str">
        <f t="shared" si="10"/>
        <v>F30E19-MEP</v>
      </c>
      <c r="V33" s="11" t="str">
        <f t="shared" si="10"/>
        <v>F30E20-MEP</v>
      </c>
      <c r="W33" s="11" t="str">
        <f t="shared" si="10"/>
        <v>F30S21-MEP</v>
      </c>
      <c r="X33" s="11" t="str">
        <f t="shared" si="10"/>
        <v/>
      </c>
      <c r="Y33" s="11" t="str">
        <f t="shared" si="10"/>
        <v>F30G23-MEP</v>
      </c>
      <c r="Z33" s="11" t="str">
        <f t="shared" si="10"/>
        <v>F30T24-MEP</v>
      </c>
      <c r="AA33" s="11" t="str">
        <f t="shared" si="10"/>
        <v>F30F25-MEP</v>
      </c>
      <c r="AB33" s="11" t="str">
        <f t="shared" si="10"/>
        <v>F30T26-MEP</v>
      </c>
      <c r="AC33" s="11" t="str">
        <f t="shared" si="10"/>
        <v>F30J27-MEP</v>
      </c>
      <c r="AD33" s="11" t="str">
        <f t="shared" si="10"/>
        <v>F30A28-MEP</v>
      </c>
      <c r="AE33" s="11" t="str">
        <f t="shared" si="10"/>
        <v>F30G29</v>
      </c>
      <c r="AF33" s="11" t="str">
        <f t="shared" si="10"/>
        <v>F30F30</v>
      </c>
      <c r="AG33" s="11" t="str">
        <f t="shared" si="10"/>
        <v>F30R31-MEP</v>
      </c>
      <c r="AH33" s="11" t="str">
        <f t="shared" si="10"/>
        <v>F30M32-B</v>
      </c>
      <c r="AI33" s="11" t="str">
        <f t="shared" si="11"/>
        <v>F30I33-B</v>
      </c>
      <c r="AJ33" s="11" t="str">
        <f t="shared" si="11"/>
        <v>F30M34-B</v>
      </c>
      <c r="AK33" s="11" t="str">
        <f t="shared" si="11"/>
        <v>F30K35-B</v>
      </c>
      <c r="AL33" s="11" t="str">
        <f t="shared" si="11"/>
        <v>F30A36-B</v>
      </c>
      <c r="AM33" s="11" t="str">
        <f t="shared" si="11"/>
        <v>F30M37-B</v>
      </c>
      <c r="AN33" s="11" t="str">
        <f t="shared" si="11"/>
        <v>F30M38-MEP</v>
      </c>
      <c r="AO33" s="11" t="str">
        <f t="shared" si="11"/>
        <v/>
      </c>
      <c r="AP33" s="11" t="str">
        <f t="shared" si="11"/>
        <v>F30A40</v>
      </c>
      <c r="AQ33" s="11" t="str">
        <f t="shared" si="11"/>
        <v>F30H41</v>
      </c>
      <c r="AR33" s="11" t="str">
        <f t="shared" si="11"/>
        <v>F30M42</v>
      </c>
      <c r="AS33" s="11" t="str">
        <f t="shared" si="11"/>
        <v/>
      </c>
      <c r="AT33" s="11" t="str">
        <f t="shared" si="11"/>
        <v/>
      </c>
      <c r="AU33" s="11" t="str">
        <f t="shared" si="11"/>
        <v/>
      </c>
      <c r="AV33" s="11" t="str">
        <f t="shared" si="11"/>
        <v/>
      </c>
    </row>
    <row r="34" spans="1:48" x14ac:dyDescent="0.25">
      <c r="A34" s="13">
        <f t="shared" si="8"/>
        <v>31</v>
      </c>
      <c r="B34" s="8" t="str">
        <f>Links!G33</f>
        <v>R31-MEP</v>
      </c>
      <c r="C34" s="11" t="str">
        <f t="shared" si="12"/>
        <v>R31-MEPA1</v>
      </c>
      <c r="D34" s="11" t="str">
        <f t="shared" si="12"/>
        <v>R31-MEPE2</v>
      </c>
      <c r="E34" s="11" t="str">
        <f t="shared" si="12"/>
        <v>R31-MEPW3</v>
      </c>
      <c r="F34" s="11" t="str">
        <f t="shared" si="12"/>
        <v>R31-MEPA4</v>
      </c>
      <c r="G34" s="11" t="str">
        <f t="shared" si="12"/>
        <v>R31-MEPI5</v>
      </c>
      <c r="H34" s="11" t="str">
        <f t="shared" si="12"/>
        <v>R31-MEPK6</v>
      </c>
      <c r="I34" s="11" t="str">
        <f t="shared" si="12"/>
        <v>R31-MEPT7</v>
      </c>
      <c r="J34" s="11" t="str">
        <f t="shared" si="12"/>
        <v>R31-MEPF8</v>
      </c>
      <c r="K34" s="11" t="str">
        <f t="shared" si="12"/>
        <v>R31-MEPS9</v>
      </c>
      <c r="L34" s="11" t="str">
        <f t="shared" si="12"/>
        <v>R31-MEPA10</v>
      </c>
      <c r="M34" s="11" t="str">
        <f t="shared" si="12"/>
        <v>R31-MEPG11</v>
      </c>
      <c r="N34" s="11" t="str">
        <f t="shared" si="12"/>
        <v>R31-MEPM12</v>
      </c>
      <c r="O34" s="11" t="str">
        <f t="shared" si="12"/>
        <v>R31-MEPG13</v>
      </c>
      <c r="P34" s="11" t="str">
        <f t="shared" si="12"/>
        <v>R31-MEPH14</v>
      </c>
      <c r="Q34" s="11" t="str">
        <f t="shared" si="12"/>
        <v>R31-MEPA15</v>
      </c>
      <c r="R34" s="11" t="str">
        <f t="shared" si="12"/>
        <v>R31-MEPA16</v>
      </c>
      <c r="S34" s="11" t="str">
        <f t="shared" si="10"/>
        <v>R31-MEPA17</v>
      </c>
      <c r="T34" s="11" t="str">
        <f t="shared" si="10"/>
        <v>R31-MEPJ18-MEP</v>
      </c>
      <c r="U34" s="11" t="str">
        <f t="shared" si="10"/>
        <v>R31-MEPE19-MEP</v>
      </c>
      <c r="V34" s="11" t="str">
        <f t="shared" si="10"/>
        <v>R31-MEPE20-MEP</v>
      </c>
      <c r="W34" s="11" t="str">
        <f t="shared" si="10"/>
        <v>R31-MEPS21-MEP</v>
      </c>
      <c r="X34" s="11" t="str">
        <f t="shared" si="10"/>
        <v/>
      </c>
      <c r="Y34" s="11" t="str">
        <f t="shared" si="10"/>
        <v>R31-MEPG23-MEP</v>
      </c>
      <c r="Z34" s="11" t="str">
        <f t="shared" si="10"/>
        <v>R31-MEPT24-MEP</v>
      </c>
      <c r="AA34" s="11" t="str">
        <f t="shared" si="10"/>
        <v>R31-MEPF25-MEP</v>
      </c>
      <c r="AB34" s="11" t="str">
        <f t="shared" si="10"/>
        <v>R31-MEPT26-MEP</v>
      </c>
      <c r="AC34" s="11" t="str">
        <f t="shared" si="10"/>
        <v>R31-MEPJ27-MEP</v>
      </c>
      <c r="AD34" s="11" t="str">
        <f t="shared" si="10"/>
        <v>R31-MEPA28-MEP</v>
      </c>
      <c r="AE34" s="11" t="str">
        <f t="shared" si="10"/>
        <v>R31-MEPG29</v>
      </c>
      <c r="AF34" s="11" t="str">
        <f t="shared" si="10"/>
        <v>R31-MEPF30</v>
      </c>
      <c r="AG34" s="11" t="str">
        <f t="shared" si="10"/>
        <v>R31-MEPR31-MEP</v>
      </c>
      <c r="AH34" s="11" t="str">
        <f t="shared" si="10"/>
        <v>R31-MEPM32-B</v>
      </c>
      <c r="AI34" s="11" t="str">
        <f t="shared" si="11"/>
        <v>R31-MEPI33-B</v>
      </c>
      <c r="AJ34" s="11" t="str">
        <f t="shared" si="11"/>
        <v>R31-MEPM34-B</v>
      </c>
      <c r="AK34" s="11" t="str">
        <f t="shared" si="11"/>
        <v>R31-MEPK35-B</v>
      </c>
      <c r="AL34" s="11" t="str">
        <f t="shared" si="11"/>
        <v>R31-MEPA36-B</v>
      </c>
      <c r="AM34" s="11" t="str">
        <f t="shared" si="11"/>
        <v>R31-MEPM37-B</v>
      </c>
      <c r="AN34" s="11" t="str">
        <f t="shared" si="11"/>
        <v>R31-MEPM38-MEP</v>
      </c>
      <c r="AO34" s="11" t="str">
        <f t="shared" si="11"/>
        <v/>
      </c>
      <c r="AP34" s="11" t="str">
        <f t="shared" si="11"/>
        <v>R31-MEPA40</v>
      </c>
      <c r="AQ34" s="11" t="str">
        <f t="shared" si="11"/>
        <v>R31-MEPH41</v>
      </c>
      <c r="AR34" s="11" t="str">
        <f t="shared" si="11"/>
        <v>R31-MEPM42</v>
      </c>
      <c r="AS34" s="11" t="str">
        <f t="shared" si="11"/>
        <v/>
      </c>
      <c r="AT34" s="11" t="str">
        <f t="shared" si="11"/>
        <v/>
      </c>
      <c r="AU34" s="11" t="str">
        <f t="shared" si="11"/>
        <v/>
      </c>
      <c r="AV34" s="11" t="str">
        <f t="shared" si="11"/>
        <v/>
      </c>
    </row>
    <row r="35" spans="1:48" x14ac:dyDescent="0.25">
      <c r="A35" s="13">
        <f t="shared" si="8"/>
        <v>32</v>
      </c>
      <c r="B35" s="8" t="str">
        <f>Links!G34</f>
        <v>M32-B</v>
      </c>
      <c r="C35" s="11" t="str">
        <f t="shared" si="12"/>
        <v>M32-BA1</v>
      </c>
      <c r="D35" s="11" t="str">
        <f t="shared" si="12"/>
        <v>M32-BE2</v>
      </c>
      <c r="E35" s="11" t="str">
        <f t="shared" si="12"/>
        <v>M32-BW3</v>
      </c>
      <c r="F35" s="11" t="str">
        <f t="shared" si="12"/>
        <v>M32-BA4</v>
      </c>
      <c r="G35" s="11" t="str">
        <f t="shared" si="12"/>
        <v>M32-BI5</v>
      </c>
      <c r="H35" s="11" t="str">
        <f t="shared" si="12"/>
        <v>M32-BK6</v>
      </c>
      <c r="I35" s="11" t="str">
        <f t="shared" si="12"/>
        <v>M32-BT7</v>
      </c>
      <c r="J35" s="11" t="str">
        <f t="shared" si="12"/>
        <v>M32-BF8</v>
      </c>
      <c r="K35" s="11" t="str">
        <f t="shared" si="12"/>
        <v>M32-BS9</v>
      </c>
      <c r="L35" s="11" t="str">
        <f t="shared" si="12"/>
        <v>M32-BA10</v>
      </c>
      <c r="M35" s="11" t="str">
        <f t="shared" si="12"/>
        <v>M32-BG11</v>
      </c>
      <c r="N35" s="11" t="str">
        <f t="shared" si="12"/>
        <v>M32-BM12</v>
      </c>
      <c r="O35" s="11" t="str">
        <f t="shared" si="12"/>
        <v>M32-BG13</v>
      </c>
      <c r="P35" s="11" t="str">
        <f t="shared" si="12"/>
        <v>M32-BH14</v>
      </c>
      <c r="Q35" s="11" t="str">
        <f t="shared" si="12"/>
        <v>M32-BA15</v>
      </c>
      <c r="R35" s="11" t="str">
        <f t="shared" si="12"/>
        <v>M32-BA16</v>
      </c>
      <c r="S35" s="11" t="str">
        <f t="shared" ref="S35:AH50" si="13">IF(OR($B35=0,S$3=0),"",_xlfn.CONCAT($B35,VLOOKUP(S$2,$A$4:$B$70,2,0)))</f>
        <v>M32-BA17</v>
      </c>
      <c r="T35" s="11" t="str">
        <f t="shared" si="13"/>
        <v>M32-BJ18-MEP</v>
      </c>
      <c r="U35" s="11" t="str">
        <f t="shared" si="13"/>
        <v>M32-BE19-MEP</v>
      </c>
      <c r="V35" s="11" t="str">
        <f t="shared" si="13"/>
        <v>M32-BE20-MEP</v>
      </c>
      <c r="W35" s="11" t="str">
        <f t="shared" si="13"/>
        <v>M32-BS21-MEP</v>
      </c>
      <c r="X35" s="11" t="str">
        <f t="shared" si="13"/>
        <v/>
      </c>
      <c r="Y35" s="11" t="str">
        <f t="shared" si="13"/>
        <v>M32-BG23-MEP</v>
      </c>
      <c r="Z35" s="11" t="str">
        <f t="shared" si="13"/>
        <v>M32-BT24-MEP</v>
      </c>
      <c r="AA35" s="11" t="str">
        <f t="shared" si="13"/>
        <v>M32-BF25-MEP</v>
      </c>
      <c r="AB35" s="11" t="str">
        <f t="shared" si="13"/>
        <v>M32-BT26-MEP</v>
      </c>
      <c r="AC35" s="11" t="str">
        <f t="shared" si="13"/>
        <v>M32-BJ27-MEP</v>
      </c>
      <c r="AD35" s="11" t="str">
        <f t="shared" si="13"/>
        <v>M32-BA28-MEP</v>
      </c>
      <c r="AE35" s="11" t="str">
        <f t="shared" si="13"/>
        <v>M32-BG29</v>
      </c>
      <c r="AF35" s="11" t="str">
        <f t="shared" si="13"/>
        <v>M32-BF30</v>
      </c>
      <c r="AG35" s="11" t="str">
        <f t="shared" si="13"/>
        <v>M32-BR31-MEP</v>
      </c>
      <c r="AH35" s="11" t="str">
        <f t="shared" si="13"/>
        <v>M32-BM32-B</v>
      </c>
      <c r="AI35" s="11" t="str">
        <f t="shared" ref="AI35:AV50" si="14">IF(OR($B35=0,AI$3=0),"",_xlfn.CONCAT($B35,VLOOKUP(AI$2,$A$4:$B$70,2,0)))</f>
        <v>M32-BI33-B</v>
      </c>
      <c r="AJ35" s="11" t="str">
        <f t="shared" si="14"/>
        <v>M32-BM34-B</v>
      </c>
      <c r="AK35" s="11" t="str">
        <f t="shared" si="14"/>
        <v>M32-BK35-B</v>
      </c>
      <c r="AL35" s="11" t="str">
        <f t="shared" si="14"/>
        <v>M32-BA36-B</v>
      </c>
      <c r="AM35" s="11" t="str">
        <f t="shared" si="14"/>
        <v>M32-BM37-B</v>
      </c>
      <c r="AN35" s="11" t="str">
        <f t="shared" si="14"/>
        <v>M32-BM38-MEP</v>
      </c>
      <c r="AO35" s="11" t="str">
        <f t="shared" si="14"/>
        <v/>
      </c>
      <c r="AP35" s="11" t="str">
        <f t="shared" si="14"/>
        <v>M32-BA40</v>
      </c>
      <c r="AQ35" s="11" t="str">
        <f t="shared" si="14"/>
        <v>M32-BH41</v>
      </c>
      <c r="AR35" s="11" t="str">
        <f t="shared" si="14"/>
        <v>M32-BM42</v>
      </c>
      <c r="AS35" s="11" t="str">
        <f t="shared" si="14"/>
        <v/>
      </c>
      <c r="AT35" s="11" t="str">
        <f t="shared" si="14"/>
        <v/>
      </c>
      <c r="AU35" s="11" t="str">
        <f t="shared" si="14"/>
        <v/>
      </c>
      <c r="AV35" s="11" t="str">
        <f t="shared" si="14"/>
        <v/>
      </c>
    </row>
    <row r="36" spans="1:48" x14ac:dyDescent="0.25">
      <c r="A36" s="13">
        <f t="shared" si="8"/>
        <v>33</v>
      </c>
      <c r="B36" s="8" t="str">
        <f>Links!G35</f>
        <v>I33-B</v>
      </c>
      <c r="C36" s="11" t="str">
        <f t="shared" si="12"/>
        <v>I33-BA1</v>
      </c>
      <c r="D36" s="11" t="str">
        <f t="shared" si="12"/>
        <v>I33-BE2</v>
      </c>
      <c r="E36" s="11" t="str">
        <f t="shared" si="12"/>
        <v>I33-BW3</v>
      </c>
      <c r="F36" s="11" t="str">
        <f t="shared" si="12"/>
        <v>I33-BA4</v>
      </c>
      <c r="G36" s="11" t="str">
        <f t="shared" si="12"/>
        <v>I33-BI5</v>
      </c>
      <c r="H36" s="11" t="str">
        <f t="shared" si="12"/>
        <v>I33-BK6</v>
      </c>
      <c r="I36" s="11" t="str">
        <f t="shared" si="12"/>
        <v>I33-BT7</v>
      </c>
      <c r="J36" s="11" t="str">
        <f t="shared" si="12"/>
        <v>I33-BF8</v>
      </c>
      <c r="K36" s="11" t="str">
        <f t="shared" si="12"/>
        <v>I33-BS9</v>
      </c>
      <c r="L36" s="11" t="str">
        <f t="shared" si="12"/>
        <v>I33-BA10</v>
      </c>
      <c r="M36" s="11" t="str">
        <f t="shared" si="12"/>
        <v>I33-BG11</v>
      </c>
      <c r="N36" s="11" t="str">
        <f t="shared" si="12"/>
        <v>I33-BM12</v>
      </c>
      <c r="O36" s="11" t="str">
        <f t="shared" si="12"/>
        <v>I33-BG13</v>
      </c>
      <c r="P36" s="11" t="str">
        <f t="shared" si="12"/>
        <v>I33-BH14</v>
      </c>
      <c r="Q36" s="11" t="str">
        <f t="shared" si="12"/>
        <v>I33-BA15</v>
      </c>
      <c r="R36" s="11" t="str">
        <f t="shared" ref="R36:AG51" si="15">IF(OR($B36=0,R$3=0),"",_xlfn.CONCAT($B36,VLOOKUP(R$2,$A$4:$B$70,2,0)))</f>
        <v>I33-BA16</v>
      </c>
      <c r="S36" s="11" t="str">
        <f t="shared" si="13"/>
        <v>I33-BA17</v>
      </c>
      <c r="T36" s="11" t="str">
        <f t="shared" si="13"/>
        <v>I33-BJ18-MEP</v>
      </c>
      <c r="U36" s="11" t="str">
        <f t="shared" si="13"/>
        <v>I33-BE19-MEP</v>
      </c>
      <c r="V36" s="11" t="str">
        <f t="shared" si="13"/>
        <v>I33-BE20-MEP</v>
      </c>
      <c r="W36" s="11" t="str">
        <f t="shared" si="13"/>
        <v>I33-BS21-MEP</v>
      </c>
      <c r="X36" s="11" t="str">
        <f t="shared" si="13"/>
        <v/>
      </c>
      <c r="Y36" s="11" t="str">
        <f t="shared" si="13"/>
        <v>I33-BG23-MEP</v>
      </c>
      <c r="Z36" s="11" t="str">
        <f t="shared" si="13"/>
        <v>I33-BT24-MEP</v>
      </c>
      <c r="AA36" s="11" t="str">
        <f t="shared" si="13"/>
        <v>I33-BF25-MEP</v>
      </c>
      <c r="AB36" s="11" t="str">
        <f t="shared" si="13"/>
        <v>I33-BT26-MEP</v>
      </c>
      <c r="AC36" s="11" t="str">
        <f t="shared" si="13"/>
        <v>I33-BJ27-MEP</v>
      </c>
      <c r="AD36" s="11" t="str">
        <f t="shared" si="13"/>
        <v>I33-BA28-MEP</v>
      </c>
      <c r="AE36" s="11" t="str">
        <f t="shared" si="13"/>
        <v>I33-BG29</v>
      </c>
      <c r="AF36" s="11" t="str">
        <f t="shared" si="13"/>
        <v>I33-BF30</v>
      </c>
      <c r="AG36" s="11" t="str">
        <f t="shared" si="13"/>
        <v>I33-BR31-MEP</v>
      </c>
      <c r="AH36" s="11" t="str">
        <f t="shared" si="13"/>
        <v>I33-BM32-B</v>
      </c>
      <c r="AI36" s="11" t="str">
        <f t="shared" si="14"/>
        <v>I33-BI33-B</v>
      </c>
      <c r="AJ36" s="11" t="str">
        <f t="shared" si="14"/>
        <v>I33-BM34-B</v>
      </c>
      <c r="AK36" s="11" t="str">
        <f t="shared" si="14"/>
        <v>I33-BK35-B</v>
      </c>
      <c r="AL36" s="11" t="str">
        <f t="shared" si="14"/>
        <v>I33-BA36-B</v>
      </c>
      <c r="AM36" s="11" t="str">
        <f t="shared" si="14"/>
        <v>I33-BM37-B</v>
      </c>
      <c r="AN36" s="11" t="str">
        <f t="shared" si="14"/>
        <v>I33-BM38-MEP</v>
      </c>
      <c r="AO36" s="11" t="str">
        <f t="shared" si="14"/>
        <v/>
      </c>
      <c r="AP36" s="11" t="str">
        <f t="shared" si="14"/>
        <v>I33-BA40</v>
      </c>
      <c r="AQ36" s="11" t="str">
        <f t="shared" si="14"/>
        <v>I33-BH41</v>
      </c>
      <c r="AR36" s="11" t="str">
        <f t="shared" si="14"/>
        <v>I33-BM42</v>
      </c>
      <c r="AS36" s="11" t="str">
        <f t="shared" si="14"/>
        <v/>
      </c>
      <c r="AT36" s="11" t="str">
        <f t="shared" si="14"/>
        <v/>
      </c>
      <c r="AU36" s="11" t="str">
        <f t="shared" si="14"/>
        <v/>
      </c>
      <c r="AV36" s="11" t="str">
        <f t="shared" si="14"/>
        <v/>
      </c>
    </row>
    <row r="37" spans="1:48" x14ac:dyDescent="0.25">
      <c r="A37" s="13">
        <f t="shared" si="8"/>
        <v>34</v>
      </c>
      <c r="B37" s="8" t="str">
        <f>Links!G36</f>
        <v>M34-B</v>
      </c>
      <c r="C37" s="11" t="str">
        <f t="shared" ref="C37:R52" si="16">IF(OR($B37=0,C$3=0),"",_xlfn.CONCAT($B37,VLOOKUP(C$2,$A$4:$B$70,2,0)))</f>
        <v>M34-BA1</v>
      </c>
      <c r="D37" s="11" t="str">
        <f t="shared" si="16"/>
        <v>M34-BE2</v>
      </c>
      <c r="E37" s="11" t="str">
        <f t="shared" si="16"/>
        <v>M34-BW3</v>
      </c>
      <c r="F37" s="11" t="str">
        <f t="shared" si="16"/>
        <v>M34-BA4</v>
      </c>
      <c r="G37" s="11" t="str">
        <f t="shared" si="16"/>
        <v>M34-BI5</v>
      </c>
      <c r="H37" s="11" t="str">
        <f t="shared" si="16"/>
        <v>M34-BK6</v>
      </c>
      <c r="I37" s="11" t="str">
        <f t="shared" si="16"/>
        <v>M34-BT7</v>
      </c>
      <c r="J37" s="11" t="str">
        <f t="shared" si="16"/>
        <v>M34-BF8</v>
      </c>
      <c r="K37" s="11" t="str">
        <f t="shared" si="16"/>
        <v>M34-BS9</v>
      </c>
      <c r="L37" s="11" t="str">
        <f t="shared" si="16"/>
        <v>M34-BA10</v>
      </c>
      <c r="M37" s="11" t="str">
        <f t="shared" si="16"/>
        <v>M34-BG11</v>
      </c>
      <c r="N37" s="11" t="str">
        <f t="shared" si="16"/>
        <v>M34-BM12</v>
      </c>
      <c r="O37" s="11" t="str">
        <f t="shared" si="16"/>
        <v>M34-BG13</v>
      </c>
      <c r="P37" s="11" t="str">
        <f t="shared" si="16"/>
        <v>M34-BH14</v>
      </c>
      <c r="Q37" s="11" t="str">
        <f t="shared" si="16"/>
        <v>M34-BA15</v>
      </c>
      <c r="R37" s="11" t="str">
        <f t="shared" si="15"/>
        <v>M34-BA16</v>
      </c>
      <c r="S37" s="11" t="str">
        <f t="shared" si="13"/>
        <v>M34-BA17</v>
      </c>
      <c r="T37" s="11" t="str">
        <f t="shared" si="13"/>
        <v>M34-BJ18-MEP</v>
      </c>
      <c r="U37" s="11" t="str">
        <f t="shared" si="13"/>
        <v>M34-BE19-MEP</v>
      </c>
      <c r="V37" s="11" t="str">
        <f t="shared" si="13"/>
        <v>M34-BE20-MEP</v>
      </c>
      <c r="W37" s="11" t="str">
        <f t="shared" si="13"/>
        <v>M34-BS21-MEP</v>
      </c>
      <c r="X37" s="11" t="str">
        <f t="shared" si="13"/>
        <v/>
      </c>
      <c r="Y37" s="11" t="str">
        <f t="shared" si="13"/>
        <v>M34-BG23-MEP</v>
      </c>
      <c r="Z37" s="11" t="str">
        <f t="shared" si="13"/>
        <v>M34-BT24-MEP</v>
      </c>
      <c r="AA37" s="11" t="str">
        <f t="shared" si="13"/>
        <v>M34-BF25-MEP</v>
      </c>
      <c r="AB37" s="11" t="str">
        <f t="shared" si="13"/>
        <v>M34-BT26-MEP</v>
      </c>
      <c r="AC37" s="11" t="str">
        <f t="shared" si="13"/>
        <v>M34-BJ27-MEP</v>
      </c>
      <c r="AD37" s="11" t="str">
        <f t="shared" si="13"/>
        <v>M34-BA28-MEP</v>
      </c>
      <c r="AE37" s="11" t="str">
        <f t="shared" si="13"/>
        <v>M34-BG29</v>
      </c>
      <c r="AF37" s="11" t="str">
        <f t="shared" si="13"/>
        <v>M34-BF30</v>
      </c>
      <c r="AG37" s="11" t="str">
        <f t="shared" si="13"/>
        <v>M34-BR31-MEP</v>
      </c>
      <c r="AH37" s="11" t="str">
        <f t="shared" si="13"/>
        <v>M34-BM32-B</v>
      </c>
      <c r="AI37" s="11" t="str">
        <f t="shared" si="14"/>
        <v>M34-BI33-B</v>
      </c>
      <c r="AJ37" s="11" t="str">
        <f t="shared" si="14"/>
        <v>M34-BM34-B</v>
      </c>
      <c r="AK37" s="11" t="str">
        <f t="shared" si="14"/>
        <v>M34-BK35-B</v>
      </c>
      <c r="AL37" s="11" t="str">
        <f t="shared" si="14"/>
        <v>M34-BA36-B</v>
      </c>
      <c r="AM37" s="11" t="str">
        <f t="shared" si="14"/>
        <v>M34-BM37-B</v>
      </c>
      <c r="AN37" s="11" t="str">
        <f t="shared" si="14"/>
        <v>M34-BM38-MEP</v>
      </c>
      <c r="AO37" s="11" t="str">
        <f t="shared" si="14"/>
        <v/>
      </c>
      <c r="AP37" s="11" t="str">
        <f t="shared" si="14"/>
        <v>M34-BA40</v>
      </c>
      <c r="AQ37" s="11" t="str">
        <f t="shared" si="14"/>
        <v>M34-BH41</v>
      </c>
      <c r="AR37" s="11" t="str">
        <f t="shared" si="14"/>
        <v>M34-BM42</v>
      </c>
      <c r="AS37" s="11" t="str">
        <f t="shared" si="14"/>
        <v/>
      </c>
      <c r="AT37" s="11" t="str">
        <f t="shared" si="14"/>
        <v/>
      </c>
      <c r="AU37" s="11" t="str">
        <f t="shared" si="14"/>
        <v/>
      </c>
      <c r="AV37" s="11" t="str">
        <f t="shared" si="14"/>
        <v/>
      </c>
    </row>
    <row r="38" spans="1:48" x14ac:dyDescent="0.25">
      <c r="A38" s="13">
        <f t="shared" si="8"/>
        <v>35</v>
      </c>
      <c r="B38" s="8" t="str">
        <f>Links!G37</f>
        <v>K35-B</v>
      </c>
      <c r="C38" s="11" t="str">
        <f t="shared" si="16"/>
        <v>K35-BA1</v>
      </c>
      <c r="D38" s="11" t="str">
        <f t="shared" si="16"/>
        <v>K35-BE2</v>
      </c>
      <c r="E38" s="11" t="str">
        <f t="shared" si="16"/>
        <v>K35-BW3</v>
      </c>
      <c r="F38" s="11" t="str">
        <f t="shared" si="16"/>
        <v>K35-BA4</v>
      </c>
      <c r="G38" s="11" t="str">
        <f t="shared" si="16"/>
        <v>K35-BI5</v>
      </c>
      <c r="H38" s="11" t="str">
        <f t="shared" si="16"/>
        <v>K35-BK6</v>
      </c>
      <c r="I38" s="11" t="str">
        <f t="shared" si="16"/>
        <v>K35-BT7</v>
      </c>
      <c r="J38" s="11" t="str">
        <f t="shared" si="16"/>
        <v>K35-BF8</v>
      </c>
      <c r="K38" s="11" t="str">
        <f t="shared" si="16"/>
        <v>K35-BS9</v>
      </c>
      <c r="L38" s="11" t="str">
        <f t="shared" si="16"/>
        <v>K35-BA10</v>
      </c>
      <c r="M38" s="11" t="str">
        <f t="shared" si="16"/>
        <v>K35-BG11</v>
      </c>
      <c r="N38" s="11" t="str">
        <f t="shared" si="16"/>
        <v>K35-BM12</v>
      </c>
      <c r="O38" s="11" t="str">
        <f t="shared" si="16"/>
        <v>K35-BG13</v>
      </c>
      <c r="P38" s="11" t="str">
        <f t="shared" si="16"/>
        <v>K35-BH14</v>
      </c>
      <c r="Q38" s="11" t="str">
        <f t="shared" si="16"/>
        <v>K35-BA15</v>
      </c>
      <c r="R38" s="11" t="str">
        <f t="shared" si="15"/>
        <v>K35-BA16</v>
      </c>
      <c r="S38" s="11" t="str">
        <f t="shared" si="13"/>
        <v>K35-BA17</v>
      </c>
      <c r="T38" s="11" t="str">
        <f t="shared" si="13"/>
        <v>K35-BJ18-MEP</v>
      </c>
      <c r="U38" s="11" t="str">
        <f t="shared" si="13"/>
        <v>K35-BE19-MEP</v>
      </c>
      <c r="V38" s="11" t="str">
        <f t="shared" si="13"/>
        <v>K35-BE20-MEP</v>
      </c>
      <c r="W38" s="11" t="str">
        <f t="shared" si="13"/>
        <v>K35-BS21-MEP</v>
      </c>
      <c r="X38" s="11" t="str">
        <f t="shared" si="13"/>
        <v/>
      </c>
      <c r="Y38" s="11" t="str">
        <f t="shared" si="13"/>
        <v>K35-BG23-MEP</v>
      </c>
      <c r="Z38" s="11" t="str">
        <f t="shared" si="13"/>
        <v>K35-BT24-MEP</v>
      </c>
      <c r="AA38" s="11" t="str">
        <f t="shared" si="13"/>
        <v>K35-BF25-MEP</v>
      </c>
      <c r="AB38" s="11" t="str">
        <f t="shared" si="13"/>
        <v>K35-BT26-MEP</v>
      </c>
      <c r="AC38" s="11" t="str">
        <f t="shared" si="13"/>
        <v>K35-BJ27-MEP</v>
      </c>
      <c r="AD38" s="11" t="str">
        <f t="shared" si="13"/>
        <v>K35-BA28-MEP</v>
      </c>
      <c r="AE38" s="11" t="str">
        <f t="shared" si="13"/>
        <v>K35-BG29</v>
      </c>
      <c r="AF38" s="11" t="str">
        <f t="shared" si="13"/>
        <v>K35-BF30</v>
      </c>
      <c r="AG38" s="11" t="str">
        <f t="shared" si="13"/>
        <v>K35-BR31-MEP</v>
      </c>
      <c r="AH38" s="11" t="str">
        <f t="shared" si="13"/>
        <v>K35-BM32-B</v>
      </c>
      <c r="AI38" s="11" t="str">
        <f t="shared" si="14"/>
        <v>K35-BI33-B</v>
      </c>
      <c r="AJ38" s="11" t="str">
        <f t="shared" si="14"/>
        <v>K35-BM34-B</v>
      </c>
      <c r="AK38" s="11" t="str">
        <f t="shared" si="14"/>
        <v>K35-BK35-B</v>
      </c>
      <c r="AL38" s="11" t="str">
        <f t="shared" si="14"/>
        <v>K35-BA36-B</v>
      </c>
      <c r="AM38" s="11" t="str">
        <f t="shared" si="14"/>
        <v>K35-BM37-B</v>
      </c>
      <c r="AN38" s="11" t="str">
        <f t="shared" si="14"/>
        <v>K35-BM38-MEP</v>
      </c>
      <c r="AO38" s="11" t="str">
        <f t="shared" si="14"/>
        <v/>
      </c>
      <c r="AP38" s="11" t="str">
        <f t="shared" si="14"/>
        <v>K35-BA40</v>
      </c>
      <c r="AQ38" s="11" t="str">
        <f t="shared" si="14"/>
        <v>K35-BH41</v>
      </c>
      <c r="AR38" s="11" t="str">
        <f t="shared" si="14"/>
        <v>K35-BM42</v>
      </c>
      <c r="AS38" s="11" t="str">
        <f t="shared" si="14"/>
        <v/>
      </c>
      <c r="AT38" s="11" t="str">
        <f t="shared" si="14"/>
        <v/>
      </c>
      <c r="AU38" s="11" t="str">
        <f t="shared" si="14"/>
        <v/>
      </c>
      <c r="AV38" s="11" t="str">
        <f t="shared" si="14"/>
        <v/>
      </c>
    </row>
    <row r="39" spans="1:48" x14ac:dyDescent="0.25">
      <c r="A39" s="13">
        <f t="shared" si="8"/>
        <v>36</v>
      </c>
      <c r="B39" s="8" t="str">
        <f>Links!G38</f>
        <v>A36-B</v>
      </c>
      <c r="C39" s="11" t="str">
        <f t="shared" si="16"/>
        <v>A36-BA1</v>
      </c>
      <c r="D39" s="11" t="str">
        <f t="shared" si="16"/>
        <v>A36-BE2</v>
      </c>
      <c r="E39" s="11" t="str">
        <f t="shared" si="16"/>
        <v>A36-BW3</v>
      </c>
      <c r="F39" s="11" t="str">
        <f t="shared" si="16"/>
        <v>A36-BA4</v>
      </c>
      <c r="G39" s="11" t="str">
        <f t="shared" si="16"/>
        <v>A36-BI5</v>
      </c>
      <c r="H39" s="11" t="str">
        <f t="shared" si="16"/>
        <v>A36-BK6</v>
      </c>
      <c r="I39" s="11" t="str">
        <f t="shared" si="16"/>
        <v>A36-BT7</v>
      </c>
      <c r="J39" s="11" t="str">
        <f t="shared" si="16"/>
        <v>A36-BF8</v>
      </c>
      <c r="K39" s="11" t="str">
        <f t="shared" si="16"/>
        <v>A36-BS9</v>
      </c>
      <c r="L39" s="11" t="str">
        <f t="shared" si="16"/>
        <v>A36-BA10</v>
      </c>
      <c r="M39" s="11" t="str">
        <f t="shared" si="16"/>
        <v>A36-BG11</v>
      </c>
      <c r="N39" s="11" t="str">
        <f t="shared" si="16"/>
        <v>A36-BM12</v>
      </c>
      <c r="O39" s="11" t="str">
        <f t="shared" si="16"/>
        <v>A36-BG13</v>
      </c>
      <c r="P39" s="11" t="str">
        <f t="shared" si="16"/>
        <v>A36-BH14</v>
      </c>
      <c r="Q39" s="11" t="str">
        <f t="shared" si="16"/>
        <v>A36-BA15</v>
      </c>
      <c r="R39" s="11" t="str">
        <f t="shared" si="15"/>
        <v>A36-BA16</v>
      </c>
      <c r="S39" s="11" t="str">
        <f t="shared" si="13"/>
        <v>A36-BA17</v>
      </c>
      <c r="T39" s="11" t="str">
        <f t="shared" si="13"/>
        <v>A36-BJ18-MEP</v>
      </c>
      <c r="U39" s="11" t="str">
        <f t="shared" si="13"/>
        <v>A36-BE19-MEP</v>
      </c>
      <c r="V39" s="11" t="str">
        <f t="shared" si="13"/>
        <v>A36-BE20-MEP</v>
      </c>
      <c r="W39" s="11" t="str">
        <f t="shared" si="13"/>
        <v>A36-BS21-MEP</v>
      </c>
      <c r="X39" s="11" t="str">
        <f t="shared" si="13"/>
        <v/>
      </c>
      <c r="Y39" s="11" t="str">
        <f t="shared" si="13"/>
        <v>A36-BG23-MEP</v>
      </c>
      <c r="Z39" s="11" t="str">
        <f t="shared" si="13"/>
        <v>A36-BT24-MEP</v>
      </c>
      <c r="AA39" s="11" t="str">
        <f t="shared" si="13"/>
        <v>A36-BF25-MEP</v>
      </c>
      <c r="AB39" s="11" t="str">
        <f t="shared" si="13"/>
        <v>A36-BT26-MEP</v>
      </c>
      <c r="AC39" s="11" t="str">
        <f t="shared" si="13"/>
        <v>A36-BJ27-MEP</v>
      </c>
      <c r="AD39" s="11" t="str">
        <f t="shared" si="13"/>
        <v>A36-BA28-MEP</v>
      </c>
      <c r="AE39" s="11" t="str">
        <f t="shared" si="13"/>
        <v>A36-BG29</v>
      </c>
      <c r="AF39" s="11" t="str">
        <f t="shared" si="13"/>
        <v>A36-BF30</v>
      </c>
      <c r="AG39" s="11" t="str">
        <f t="shared" si="13"/>
        <v>A36-BR31-MEP</v>
      </c>
      <c r="AH39" s="11" t="str">
        <f t="shared" si="13"/>
        <v>A36-BM32-B</v>
      </c>
      <c r="AI39" s="11" t="str">
        <f t="shared" si="14"/>
        <v>A36-BI33-B</v>
      </c>
      <c r="AJ39" s="11" t="str">
        <f t="shared" si="14"/>
        <v>A36-BM34-B</v>
      </c>
      <c r="AK39" s="11" t="str">
        <f t="shared" si="14"/>
        <v>A36-BK35-B</v>
      </c>
      <c r="AL39" s="11" t="str">
        <f t="shared" si="14"/>
        <v>A36-BA36-B</v>
      </c>
      <c r="AM39" s="11" t="str">
        <f t="shared" si="14"/>
        <v>A36-BM37-B</v>
      </c>
      <c r="AN39" s="11" t="str">
        <f t="shared" si="14"/>
        <v>A36-BM38-MEP</v>
      </c>
      <c r="AO39" s="11" t="str">
        <f t="shared" si="14"/>
        <v/>
      </c>
      <c r="AP39" s="11" t="str">
        <f t="shared" si="14"/>
        <v>A36-BA40</v>
      </c>
      <c r="AQ39" s="11" t="str">
        <f t="shared" si="14"/>
        <v>A36-BH41</v>
      </c>
      <c r="AR39" s="11" t="str">
        <f t="shared" si="14"/>
        <v>A36-BM42</v>
      </c>
      <c r="AS39" s="11" t="str">
        <f t="shared" si="14"/>
        <v/>
      </c>
      <c r="AT39" s="11" t="str">
        <f t="shared" si="14"/>
        <v/>
      </c>
      <c r="AU39" s="11" t="str">
        <f t="shared" si="14"/>
        <v/>
      </c>
      <c r="AV39" s="11" t="str">
        <f t="shared" si="14"/>
        <v/>
      </c>
    </row>
    <row r="40" spans="1:48" x14ac:dyDescent="0.25">
      <c r="A40" s="13">
        <f t="shared" si="8"/>
        <v>37</v>
      </c>
      <c r="B40" s="8" t="str">
        <f>Links!G39</f>
        <v>M37-B</v>
      </c>
      <c r="C40" s="11" t="str">
        <f t="shared" si="16"/>
        <v>M37-BA1</v>
      </c>
      <c r="D40" s="11" t="str">
        <f t="shared" si="16"/>
        <v>M37-BE2</v>
      </c>
      <c r="E40" s="11" t="str">
        <f t="shared" si="16"/>
        <v>M37-BW3</v>
      </c>
      <c r="F40" s="11" t="str">
        <f t="shared" si="16"/>
        <v>M37-BA4</v>
      </c>
      <c r="G40" s="11" t="str">
        <f t="shared" si="16"/>
        <v>M37-BI5</v>
      </c>
      <c r="H40" s="11" t="str">
        <f t="shared" si="16"/>
        <v>M37-BK6</v>
      </c>
      <c r="I40" s="11" t="str">
        <f t="shared" si="16"/>
        <v>M37-BT7</v>
      </c>
      <c r="J40" s="11" t="str">
        <f t="shared" si="16"/>
        <v>M37-BF8</v>
      </c>
      <c r="K40" s="11" t="str">
        <f t="shared" si="16"/>
        <v>M37-BS9</v>
      </c>
      <c r="L40" s="11" t="str">
        <f t="shared" si="16"/>
        <v>M37-BA10</v>
      </c>
      <c r="M40" s="11" t="str">
        <f t="shared" si="16"/>
        <v>M37-BG11</v>
      </c>
      <c r="N40" s="11" t="str">
        <f t="shared" si="16"/>
        <v>M37-BM12</v>
      </c>
      <c r="O40" s="11" t="str">
        <f t="shared" si="16"/>
        <v>M37-BG13</v>
      </c>
      <c r="P40" s="11" t="str">
        <f t="shared" si="16"/>
        <v>M37-BH14</v>
      </c>
      <c r="Q40" s="11" t="str">
        <f t="shared" si="16"/>
        <v>M37-BA15</v>
      </c>
      <c r="R40" s="11" t="str">
        <f t="shared" si="15"/>
        <v>M37-BA16</v>
      </c>
      <c r="S40" s="11" t="str">
        <f t="shared" si="13"/>
        <v>M37-BA17</v>
      </c>
      <c r="T40" s="11" t="str">
        <f t="shared" si="13"/>
        <v>M37-BJ18-MEP</v>
      </c>
      <c r="U40" s="11" t="str">
        <f t="shared" si="13"/>
        <v>M37-BE19-MEP</v>
      </c>
      <c r="V40" s="11" t="str">
        <f t="shared" si="13"/>
        <v>M37-BE20-MEP</v>
      </c>
      <c r="W40" s="11" t="str">
        <f t="shared" si="13"/>
        <v>M37-BS21-MEP</v>
      </c>
      <c r="X40" s="11" t="str">
        <f t="shared" si="13"/>
        <v/>
      </c>
      <c r="Y40" s="11" t="str">
        <f t="shared" si="13"/>
        <v>M37-BG23-MEP</v>
      </c>
      <c r="Z40" s="11" t="str">
        <f t="shared" si="13"/>
        <v>M37-BT24-MEP</v>
      </c>
      <c r="AA40" s="11" t="str">
        <f t="shared" si="13"/>
        <v>M37-BF25-MEP</v>
      </c>
      <c r="AB40" s="11" t="str">
        <f t="shared" si="13"/>
        <v>M37-BT26-MEP</v>
      </c>
      <c r="AC40" s="11" t="str">
        <f t="shared" si="13"/>
        <v>M37-BJ27-MEP</v>
      </c>
      <c r="AD40" s="11" t="str">
        <f t="shared" si="13"/>
        <v>M37-BA28-MEP</v>
      </c>
      <c r="AE40" s="11" t="str">
        <f t="shared" si="13"/>
        <v>M37-BG29</v>
      </c>
      <c r="AF40" s="11" t="str">
        <f t="shared" si="13"/>
        <v>M37-BF30</v>
      </c>
      <c r="AG40" s="11" t="str">
        <f t="shared" si="13"/>
        <v>M37-BR31-MEP</v>
      </c>
      <c r="AH40" s="11" t="str">
        <f t="shared" si="13"/>
        <v>M37-BM32-B</v>
      </c>
      <c r="AI40" s="11" t="str">
        <f t="shared" si="14"/>
        <v>M37-BI33-B</v>
      </c>
      <c r="AJ40" s="11" t="str">
        <f t="shared" si="14"/>
        <v>M37-BM34-B</v>
      </c>
      <c r="AK40" s="11" t="str">
        <f t="shared" si="14"/>
        <v>M37-BK35-B</v>
      </c>
      <c r="AL40" s="11" t="str">
        <f t="shared" si="14"/>
        <v>M37-BA36-B</v>
      </c>
      <c r="AM40" s="11" t="str">
        <f t="shared" si="14"/>
        <v>M37-BM37-B</v>
      </c>
      <c r="AN40" s="11" t="str">
        <f t="shared" si="14"/>
        <v>M37-BM38-MEP</v>
      </c>
      <c r="AO40" s="11" t="str">
        <f t="shared" si="14"/>
        <v/>
      </c>
      <c r="AP40" s="11" t="str">
        <f t="shared" si="14"/>
        <v>M37-BA40</v>
      </c>
      <c r="AQ40" s="11" t="str">
        <f t="shared" si="14"/>
        <v>M37-BH41</v>
      </c>
      <c r="AR40" s="11" t="str">
        <f t="shared" si="14"/>
        <v>M37-BM42</v>
      </c>
      <c r="AS40" s="11" t="str">
        <f t="shared" si="14"/>
        <v/>
      </c>
      <c r="AT40" s="11" t="str">
        <f t="shared" si="14"/>
        <v/>
      </c>
      <c r="AU40" s="11" t="str">
        <f t="shared" si="14"/>
        <v/>
      </c>
      <c r="AV40" s="11" t="str">
        <f t="shared" si="14"/>
        <v/>
      </c>
    </row>
    <row r="41" spans="1:48" x14ac:dyDescent="0.25">
      <c r="A41" s="13">
        <f t="shared" si="8"/>
        <v>38</v>
      </c>
      <c r="B41" s="8" t="str">
        <f>Links!G40</f>
        <v>M38-MEP</v>
      </c>
      <c r="C41" s="11" t="str">
        <f t="shared" si="16"/>
        <v>M38-MEPA1</v>
      </c>
      <c r="D41" s="11" t="str">
        <f t="shared" si="16"/>
        <v>M38-MEPE2</v>
      </c>
      <c r="E41" s="11" t="str">
        <f t="shared" si="16"/>
        <v>M38-MEPW3</v>
      </c>
      <c r="F41" s="11" t="str">
        <f t="shared" si="16"/>
        <v>M38-MEPA4</v>
      </c>
      <c r="G41" s="11" t="str">
        <f t="shared" si="16"/>
        <v>M38-MEPI5</v>
      </c>
      <c r="H41" s="11" t="str">
        <f t="shared" si="16"/>
        <v>M38-MEPK6</v>
      </c>
      <c r="I41" s="11" t="str">
        <f t="shared" si="16"/>
        <v>M38-MEPT7</v>
      </c>
      <c r="J41" s="11" t="str">
        <f t="shared" si="16"/>
        <v>M38-MEPF8</v>
      </c>
      <c r="K41" s="11" t="str">
        <f t="shared" si="16"/>
        <v>M38-MEPS9</v>
      </c>
      <c r="L41" s="11" t="str">
        <f t="shared" si="16"/>
        <v>M38-MEPA10</v>
      </c>
      <c r="M41" s="11" t="str">
        <f t="shared" si="16"/>
        <v>M38-MEPG11</v>
      </c>
      <c r="N41" s="11" t="str">
        <f t="shared" si="16"/>
        <v>M38-MEPM12</v>
      </c>
      <c r="O41" s="11" t="str">
        <f t="shared" si="16"/>
        <v>M38-MEPG13</v>
      </c>
      <c r="P41" s="11" t="str">
        <f t="shared" si="16"/>
        <v>M38-MEPH14</v>
      </c>
      <c r="Q41" s="11" t="str">
        <f t="shared" si="16"/>
        <v>M38-MEPA15</v>
      </c>
      <c r="R41" s="11" t="str">
        <f t="shared" si="15"/>
        <v>M38-MEPA16</v>
      </c>
      <c r="S41" s="11" t="str">
        <f t="shared" si="13"/>
        <v>M38-MEPA17</v>
      </c>
      <c r="T41" s="11" t="str">
        <f t="shared" si="13"/>
        <v>M38-MEPJ18-MEP</v>
      </c>
      <c r="U41" s="11" t="str">
        <f t="shared" si="13"/>
        <v>M38-MEPE19-MEP</v>
      </c>
      <c r="V41" s="11" t="str">
        <f t="shared" si="13"/>
        <v>M38-MEPE20-MEP</v>
      </c>
      <c r="W41" s="11" t="str">
        <f t="shared" si="13"/>
        <v>M38-MEPS21-MEP</v>
      </c>
      <c r="X41" s="11" t="str">
        <f t="shared" si="13"/>
        <v/>
      </c>
      <c r="Y41" s="11" t="str">
        <f t="shared" si="13"/>
        <v>M38-MEPG23-MEP</v>
      </c>
      <c r="Z41" s="11" t="str">
        <f t="shared" si="13"/>
        <v>M38-MEPT24-MEP</v>
      </c>
      <c r="AA41" s="11" t="str">
        <f t="shared" si="13"/>
        <v>M38-MEPF25-MEP</v>
      </c>
      <c r="AB41" s="11" t="str">
        <f t="shared" si="13"/>
        <v>M38-MEPT26-MEP</v>
      </c>
      <c r="AC41" s="11" t="str">
        <f t="shared" si="13"/>
        <v>M38-MEPJ27-MEP</v>
      </c>
      <c r="AD41" s="11" t="str">
        <f t="shared" si="13"/>
        <v>M38-MEPA28-MEP</v>
      </c>
      <c r="AE41" s="11" t="str">
        <f t="shared" si="13"/>
        <v>M38-MEPG29</v>
      </c>
      <c r="AF41" s="11" t="str">
        <f t="shared" si="13"/>
        <v>M38-MEPF30</v>
      </c>
      <c r="AG41" s="11" t="str">
        <f t="shared" si="13"/>
        <v>M38-MEPR31-MEP</v>
      </c>
      <c r="AH41" s="11" t="str">
        <f t="shared" si="13"/>
        <v>M38-MEPM32-B</v>
      </c>
      <c r="AI41" s="11" t="str">
        <f t="shared" si="14"/>
        <v>M38-MEPI33-B</v>
      </c>
      <c r="AJ41" s="11" t="str">
        <f t="shared" si="14"/>
        <v>M38-MEPM34-B</v>
      </c>
      <c r="AK41" s="11" t="str">
        <f t="shared" si="14"/>
        <v>M38-MEPK35-B</v>
      </c>
      <c r="AL41" s="11" t="str">
        <f t="shared" si="14"/>
        <v>M38-MEPA36-B</v>
      </c>
      <c r="AM41" s="11" t="str">
        <f t="shared" si="14"/>
        <v>M38-MEPM37-B</v>
      </c>
      <c r="AN41" s="11" t="str">
        <f t="shared" si="14"/>
        <v>M38-MEPM38-MEP</v>
      </c>
      <c r="AO41" s="11" t="str">
        <f t="shared" si="14"/>
        <v/>
      </c>
      <c r="AP41" s="11" t="str">
        <f t="shared" si="14"/>
        <v>M38-MEPA40</v>
      </c>
      <c r="AQ41" s="11" t="str">
        <f t="shared" si="14"/>
        <v>M38-MEPH41</v>
      </c>
      <c r="AR41" s="11" t="str">
        <f t="shared" si="14"/>
        <v>M38-MEPM42</v>
      </c>
      <c r="AS41" s="11" t="str">
        <f t="shared" si="14"/>
        <v/>
      </c>
      <c r="AT41" s="11" t="str">
        <f t="shared" si="14"/>
        <v/>
      </c>
      <c r="AU41" s="11" t="str">
        <f t="shared" si="14"/>
        <v/>
      </c>
      <c r="AV41" s="11" t="str">
        <f t="shared" si="14"/>
        <v/>
      </c>
    </row>
    <row r="42" spans="1:48" x14ac:dyDescent="0.25">
      <c r="A42" s="13">
        <f t="shared" si="8"/>
        <v>39</v>
      </c>
      <c r="B42" s="8">
        <f>Links!G41</f>
        <v>0</v>
      </c>
      <c r="C42" s="11" t="str">
        <f t="shared" si="16"/>
        <v/>
      </c>
      <c r="D42" s="11" t="str">
        <f t="shared" si="16"/>
        <v/>
      </c>
      <c r="E42" s="11" t="str">
        <f t="shared" si="16"/>
        <v/>
      </c>
      <c r="F42" s="11" t="str">
        <f t="shared" si="16"/>
        <v/>
      </c>
      <c r="G42" s="11" t="str">
        <f t="shared" si="16"/>
        <v/>
      </c>
      <c r="H42" s="11" t="str">
        <f t="shared" si="16"/>
        <v/>
      </c>
      <c r="I42" s="11" t="str">
        <f t="shared" si="16"/>
        <v/>
      </c>
      <c r="J42" s="11" t="str">
        <f t="shared" si="16"/>
        <v/>
      </c>
      <c r="K42" s="11" t="str">
        <f t="shared" si="16"/>
        <v/>
      </c>
      <c r="L42" s="11" t="str">
        <f t="shared" si="16"/>
        <v/>
      </c>
      <c r="M42" s="11" t="str">
        <f t="shared" si="16"/>
        <v/>
      </c>
      <c r="N42" s="11" t="str">
        <f t="shared" si="16"/>
        <v/>
      </c>
      <c r="O42" s="11" t="str">
        <f t="shared" si="16"/>
        <v/>
      </c>
      <c r="P42" s="11" t="str">
        <f t="shared" si="16"/>
        <v/>
      </c>
      <c r="Q42" s="11" t="str">
        <f t="shared" si="16"/>
        <v/>
      </c>
      <c r="R42" s="11" t="str">
        <f t="shared" si="15"/>
        <v/>
      </c>
      <c r="S42" s="11" t="str">
        <f t="shared" si="13"/>
        <v/>
      </c>
      <c r="T42" s="11" t="str">
        <f t="shared" si="13"/>
        <v/>
      </c>
      <c r="U42" s="11" t="str">
        <f t="shared" si="13"/>
        <v/>
      </c>
      <c r="V42" s="11" t="str">
        <f t="shared" si="13"/>
        <v/>
      </c>
      <c r="W42" s="11" t="str">
        <f t="shared" si="13"/>
        <v/>
      </c>
      <c r="X42" s="11" t="str">
        <f t="shared" si="13"/>
        <v/>
      </c>
      <c r="Y42" s="11" t="str">
        <f t="shared" si="13"/>
        <v/>
      </c>
      <c r="Z42" s="11" t="str">
        <f t="shared" si="13"/>
        <v/>
      </c>
      <c r="AA42" s="11" t="str">
        <f t="shared" si="13"/>
        <v/>
      </c>
      <c r="AB42" s="11" t="str">
        <f t="shared" si="13"/>
        <v/>
      </c>
      <c r="AC42" s="11" t="str">
        <f t="shared" si="13"/>
        <v/>
      </c>
      <c r="AD42" s="11" t="str">
        <f t="shared" si="13"/>
        <v/>
      </c>
      <c r="AE42" s="11" t="str">
        <f t="shared" si="13"/>
        <v/>
      </c>
      <c r="AF42" s="11" t="str">
        <f t="shared" si="13"/>
        <v/>
      </c>
      <c r="AG42" s="11" t="str">
        <f t="shared" si="13"/>
        <v/>
      </c>
      <c r="AH42" s="11" t="str">
        <f t="shared" si="13"/>
        <v/>
      </c>
      <c r="AI42" s="11" t="str">
        <f t="shared" si="14"/>
        <v/>
      </c>
      <c r="AJ42" s="11" t="str">
        <f t="shared" si="14"/>
        <v/>
      </c>
      <c r="AK42" s="11" t="str">
        <f t="shared" si="14"/>
        <v/>
      </c>
      <c r="AL42" s="11" t="str">
        <f t="shared" si="14"/>
        <v/>
      </c>
      <c r="AM42" s="11" t="str">
        <f t="shared" si="14"/>
        <v/>
      </c>
      <c r="AN42" s="11" t="str">
        <f t="shared" si="14"/>
        <v/>
      </c>
      <c r="AO42" s="11" t="str">
        <f t="shared" si="14"/>
        <v/>
      </c>
      <c r="AP42" s="11" t="str">
        <f t="shared" si="14"/>
        <v/>
      </c>
      <c r="AQ42" s="11" t="str">
        <f t="shared" si="14"/>
        <v/>
      </c>
      <c r="AR42" s="11" t="str">
        <f t="shared" si="14"/>
        <v/>
      </c>
      <c r="AS42" s="11" t="str">
        <f t="shared" si="14"/>
        <v/>
      </c>
      <c r="AT42" s="11" t="str">
        <f t="shared" si="14"/>
        <v/>
      </c>
      <c r="AU42" s="11" t="str">
        <f t="shared" si="14"/>
        <v/>
      </c>
      <c r="AV42" s="11" t="str">
        <f t="shared" si="14"/>
        <v/>
      </c>
    </row>
    <row r="43" spans="1:48" x14ac:dyDescent="0.25">
      <c r="A43" s="13">
        <f t="shared" si="8"/>
        <v>40</v>
      </c>
      <c r="B43" s="8" t="str">
        <f>Links!G42</f>
        <v>A40</v>
      </c>
      <c r="C43" s="11" t="str">
        <f t="shared" si="16"/>
        <v>A40A1</v>
      </c>
      <c r="D43" s="11" t="str">
        <f t="shared" si="16"/>
        <v>A40E2</v>
      </c>
      <c r="E43" s="11" t="str">
        <f t="shared" si="16"/>
        <v>A40W3</v>
      </c>
      <c r="F43" s="11" t="str">
        <f t="shared" si="16"/>
        <v>A40A4</v>
      </c>
      <c r="G43" s="11" t="str">
        <f t="shared" si="16"/>
        <v>A40I5</v>
      </c>
      <c r="H43" s="11" t="str">
        <f t="shared" si="16"/>
        <v>A40K6</v>
      </c>
      <c r="I43" s="11" t="str">
        <f t="shared" si="16"/>
        <v>A40T7</v>
      </c>
      <c r="J43" s="11" t="str">
        <f t="shared" si="16"/>
        <v>A40F8</v>
      </c>
      <c r="K43" s="11" t="str">
        <f t="shared" si="16"/>
        <v>A40S9</v>
      </c>
      <c r="L43" s="11" t="str">
        <f t="shared" si="16"/>
        <v>A40A10</v>
      </c>
      <c r="M43" s="11" t="str">
        <f t="shared" si="16"/>
        <v>A40G11</v>
      </c>
      <c r="N43" s="11" t="str">
        <f t="shared" si="16"/>
        <v>A40M12</v>
      </c>
      <c r="O43" s="11" t="str">
        <f t="shared" si="16"/>
        <v>A40G13</v>
      </c>
      <c r="P43" s="11" t="str">
        <f t="shared" si="16"/>
        <v>A40H14</v>
      </c>
      <c r="Q43" s="11" t="str">
        <f t="shared" si="16"/>
        <v>A40A15</v>
      </c>
      <c r="R43" s="11" t="str">
        <f t="shared" si="15"/>
        <v>A40A16</v>
      </c>
      <c r="S43" s="11" t="str">
        <f t="shared" si="13"/>
        <v>A40A17</v>
      </c>
      <c r="T43" s="11" t="str">
        <f t="shared" si="13"/>
        <v>A40J18-MEP</v>
      </c>
      <c r="U43" s="11" t="str">
        <f t="shared" si="13"/>
        <v>A40E19-MEP</v>
      </c>
      <c r="V43" s="11" t="str">
        <f t="shared" si="13"/>
        <v>A40E20-MEP</v>
      </c>
      <c r="W43" s="11" t="str">
        <f t="shared" si="13"/>
        <v>A40S21-MEP</v>
      </c>
      <c r="X43" s="11" t="str">
        <f t="shared" si="13"/>
        <v/>
      </c>
      <c r="Y43" s="11" t="str">
        <f t="shared" si="13"/>
        <v>A40G23-MEP</v>
      </c>
      <c r="Z43" s="11" t="str">
        <f t="shared" si="13"/>
        <v>A40T24-MEP</v>
      </c>
      <c r="AA43" s="11" t="str">
        <f t="shared" si="13"/>
        <v>A40F25-MEP</v>
      </c>
      <c r="AB43" s="11" t="str">
        <f t="shared" si="13"/>
        <v>A40T26-MEP</v>
      </c>
      <c r="AC43" s="11" t="str">
        <f t="shared" si="13"/>
        <v>A40J27-MEP</v>
      </c>
      <c r="AD43" s="11" t="str">
        <f t="shared" si="13"/>
        <v>A40A28-MEP</v>
      </c>
      <c r="AE43" s="11" t="str">
        <f t="shared" si="13"/>
        <v>A40G29</v>
      </c>
      <c r="AF43" s="11" t="str">
        <f t="shared" si="13"/>
        <v>A40F30</v>
      </c>
      <c r="AG43" s="11" t="str">
        <f t="shared" si="13"/>
        <v>A40R31-MEP</v>
      </c>
      <c r="AH43" s="11" t="str">
        <f t="shared" si="13"/>
        <v>A40M32-B</v>
      </c>
      <c r="AI43" s="11" t="str">
        <f t="shared" si="14"/>
        <v>A40I33-B</v>
      </c>
      <c r="AJ43" s="11" t="str">
        <f t="shared" si="14"/>
        <v>A40M34-B</v>
      </c>
      <c r="AK43" s="11" t="str">
        <f t="shared" si="14"/>
        <v>A40K35-B</v>
      </c>
      <c r="AL43" s="11" t="str">
        <f t="shared" si="14"/>
        <v>A40A36-B</v>
      </c>
      <c r="AM43" s="11" t="str">
        <f t="shared" si="14"/>
        <v>A40M37-B</v>
      </c>
      <c r="AN43" s="11" t="str">
        <f t="shared" si="14"/>
        <v>A40M38-MEP</v>
      </c>
      <c r="AO43" s="11" t="str">
        <f t="shared" si="14"/>
        <v/>
      </c>
      <c r="AP43" s="11" t="str">
        <f t="shared" si="14"/>
        <v>A40A40</v>
      </c>
      <c r="AQ43" s="11" t="str">
        <f t="shared" si="14"/>
        <v>A40H41</v>
      </c>
      <c r="AR43" s="11" t="str">
        <f t="shared" si="14"/>
        <v>A40M42</v>
      </c>
      <c r="AS43" s="11" t="str">
        <f t="shared" si="14"/>
        <v/>
      </c>
      <c r="AT43" s="11" t="str">
        <f t="shared" si="14"/>
        <v/>
      </c>
      <c r="AU43" s="11" t="str">
        <f t="shared" si="14"/>
        <v/>
      </c>
      <c r="AV43" s="11" t="str">
        <f t="shared" si="14"/>
        <v/>
      </c>
    </row>
    <row r="44" spans="1:48" x14ac:dyDescent="0.25">
      <c r="A44" s="13">
        <f t="shared" si="8"/>
        <v>41</v>
      </c>
      <c r="B44" s="8" t="str">
        <f>Links!G43</f>
        <v>H41</v>
      </c>
      <c r="C44" s="11" t="str">
        <f t="shared" si="16"/>
        <v>H41A1</v>
      </c>
      <c r="D44" s="11" t="str">
        <f t="shared" si="16"/>
        <v>H41E2</v>
      </c>
      <c r="E44" s="11" t="str">
        <f t="shared" si="16"/>
        <v>H41W3</v>
      </c>
      <c r="F44" s="11" t="str">
        <f t="shared" si="16"/>
        <v>H41A4</v>
      </c>
      <c r="G44" s="11" t="str">
        <f t="shared" si="16"/>
        <v>H41I5</v>
      </c>
      <c r="H44" s="11" t="str">
        <f t="shared" si="16"/>
        <v>H41K6</v>
      </c>
      <c r="I44" s="11" t="str">
        <f t="shared" si="16"/>
        <v>H41T7</v>
      </c>
      <c r="J44" s="11" t="str">
        <f t="shared" si="16"/>
        <v>H41F8</v>
      </c>
      <c r="K44" s="11" t="str">
        <f t="shared" si="16"/>
        <v>H41S9</v>
      </c>
      <c r="L44" s="11" t="str">
        <f t="shared" si="16"/>
        <v>H41A10</v>
      </c>
      <c r="M44" s="11" t="str">
        <f t="shared" si="16"/>
        <v>H41G11</v>
      </c>
      <c r="N44" s="11" t="str">
        <f t="shared" si="16"/>
        <v>H41M12</v>
      </c>
      <c r="O44" s="11" t="str">
        <f t="shared" si="16"/>
        <v>H41G13</v>
      </c>
      <c r="P44" s="11" t="str">
        <f t="shared" si="16"/>
        <v>H41H14</v>
      </c>
      <c r="Q44" s="11" t="str">
        <f t="shared" si="16"/>
        <v>H41A15</v>
      </c>
      <c r="R44" s="11" t="str">
        <f t="shared" si="15"/>
        <v>H41A16</v>
      </c>
      <c r="S44" s="11" t="str">
        <f t="shared" si="13"/>
        <v>H41A17</v>
      </c>
      <c r="T44" s="11" t="str">
        <f t="shared" si="13"/>
        <v>H41J18-MEP</v>
      </c>
      <c r="U44" s="11" t="str">
        <f t="shared" si="13"/>
        <v>H41E19-MEP</v>
      </c>
      <c r="V44" s="11" t="str">
        <f t="shared" si="13"/>
        <v>H41E20-MEP</v>
      </c>
      <c r="W44" s="11" t="str">
        <f t="shared" si="13"/>
        <v>H41S21-MEP</v>
      </c>
      <c r="X44" s="11" t="str">
        <f t="shared" si="13"/>
        <v/>
      </c>
      <c r="Y44" s="11" t="str">
        <f t="shared" si="13"/>
        <v>H41G23-MEP</v>
      </c>
      <c r="Z44" s="11" t="str">
        <f t="shared" si="13"/>
        <v>H41T24-MEP</v>
      </c>
      <c r="AA44" s="11" t="str">
        <f t="shared" si="13"/>
        <v>H41F25-MEP</v>
      </c>
      <c r="AB44" s="11" t="str">
        <f t="shared" si="13"/>
        <v>H41T26-MEP</v>
      </c>
      <c r="AC44" s="11" t="str">
        <f t="shared" si="13"/>
        <v>H41J27-MEP</v>
      </c>
      <c r="AD44" s="11" t="str">
        <f t="shared" si="13"/>
        <v>H41A28-MEP</v>
      </c>
      <c r="AE44" s="11" t="str">
        <f t="shared" si="13"/>
        <v>H41G29</v>
      </c>
      <c r="AF44" s="11" t="str">
        <f t="shared" si="13"/>
        <v>H41F30</v>
      </c>
      <c r="AG44" s="11" t="str">
        <f t="shared" si="13"/>
        <v>H41R31-MEP</v>
      </c>
      <c r="AH44" s="11" t="str">
        <f t="shared" si="13"/>
        <v>H41M32-B</v>
      </c>
      <c r="AI44" s="11" t="str">
        <f t="shared" si="14"/>
        <v>H41I33-B</v>
      </c>
      <c r="AJ44" s="11" t="str">
        <f t="shared" si="14"/>
        <v>H41M34-B</v>
      </c>
      <c r="AK44" s="11" t="str">
        <f t="shared" si="14"/>
        <v>H41K35-B</v>
      </c>
      <c r="AL44" s="11" t="str">
        <f t="shared" si="14"/>
        <v>H41A36-B</v>
      </c>
      <c r="AM44" s="11" t="str">
        <f t="shared" si="14"/>
        <v>H41M37-B</v>
      </c>
      <c r="AN44" s="11" t="str">
        <f t="shared" si="14"/>
        <v>H41M38-MEP</v>
      </c>
      <c r="AO44" s="11" t="str">
        <f t="shared" si="14"/>
        <v/>
      </c>
      <c r="AP44" s="11" t="str">
        <f t="shared" si="14"/>
        <v>H41A40</v>
      </c>
      <c r="AQ44" s="11" t="str">
        <f t="shared" si="14"/>
        <v>H41H41</v>
      </c>
      <c r="AR44" s="11" t="str">
        <f t="shared" si="14"/>
        <v>H41M42</v>
      </c>
      <c r="AS44" s="11" t="str">
        <f t="shared" si="14"/>
        <v/>
      </c>
      <c r="AT44" s="11" t="str">
        <f t="shared" si="14"/>
        <v/>
      </c>
      <c r="AU44" s="11" t="str">
        <f t="shared" si="14"/>
        <v/>
      </c>
      <c r="AV44" s="11" t="str">
        <f t="shared" si="14"/>
        <v/>
      </c>
    </row>
    <row r="45" spans="1:48" x14ac:dyDescent="0.25">
      <c r="A45" s="13">
        <f t="shared" si="8"/>
        <v>42</v>
      </c>
      <c r="B45" s="8" t="str">
        <f>Links!G44</f>
        <v>M42</v>
      </c>
      <c r="C45" s="11" t="str">
        <f t="shared" si="16"/>
        <v>M42A1</v>
      </c>
      <c r="D45" s="11" t="str">
        <f t="shared" si="16"/>
        <v>M42E2</v>
      </c>
      <c r="E45" s="11" t="str">
        <f t="shared" si="16"/>
        <v>M42W3</v>
      </c>
      <c r="F45" s="11" t="str">
        <f t="shared" si="16"/>
        <v>M42A4</v>
      </c>
      <c r="G45" s="11" t="str">
        <f t="shared" si="16"/>
        <v>M42I5</v>
      </c>
      <c r="H45" s="11" t="str">
        <f t="shared" si="16"/>
        <v>M42K6</v>
      </c>
      <c r="I45" s="11" t="str">
        <f t="shared" si="16"/>
        <v>M42T7</v>
      </c>
      <c r="J45" s="11" t="str">
        <f t="shared" si="16"/>
        <v>M42F8</v>
      </c>
      <c r="K45" s="11" t="str">
        <f t="shared" si="16"/>
        <v>M42S9</v>
      </c>
      <c r="L45" s="11" t="str">
        <f t="shared" si="16"/>
        <v>M42A10</v>
      </c>
      <c r="M45" s="11" t="str">
        <f t="shared" si="16"/>
        <v>M42G11</v>
      </c>
      <c r="N45" s="11" t="str">
        <f t="shared" si="16"/>
        <v>M42M12</v>
      </c>
      <c r="O45" s="11" t="str">
        <f t="shared" si="16"/>
        <v>M42G13</v>
      </c>
      <c r="P45" s="11" t="str">
        <f t="shared" si="16"/>
        <v>M42H14</v>
      </c>
      <c r="Q45" s="11" t="str">
        <f t="shared" si="16"/>
        <v>M42A15</v>
      </c>
      <c r="R45" s="11" t="str">
        <f t="shared" si="15"/>
        <v>M42A16</v>
      </c>
      <c r="S45" s="11" t="str">
        <f t="shared" si="13"/>
        <v>M42A17</v>
      </c>
      <c r="T45" s="11" t="str">
        <f t="shared" si="13"/>
        <v>M42J18-MEP</v>
      </c>
      <c r="U45" s="11" t="str">
        <f t="shared" si="13"/>
        <v>M42E19-MEP</v>
      </c>
      <c r="V45" s="11" t="str">
        <f t="shared" si="13"/>
        <v>M42E20-MEP</v>
      </c>
      <c r="W45" s="11" t="str">
        <f t="shared" si="13"/>
        <v>M42S21-MEP</v>
      </c>
      <c r="X45" s="11" t="str">
        <f t="shared" si="13"/>
        <v/>
      </c>
      <c r="Y45" s="11" t="str">
        <f t="shared" si="13"/>
        <v>M42G23-MEP</v>
      </c>
      <c r="Z45" s="11" t="str">
        <f t="shared" si="13"/>
        <v>M42T24-MEP</v>
      </c>
      <c r="AA45" s="11" t="str">
        <f t="shared" si="13"/>
        <v>M42F25-MEP</v>
      </c>
      <c r="AB45" s="11" t="str">
        <f t="shared" si="13"/>
        <v>M42T26-MEP</v>
      </c>
      <c r="AC45" s="11" t="str">
        <f t="shared" si="13"/>
        <v>M42J27-MEP</v>
      </c>
      <c r="AD45" s="11" t="str">
        <f t="shared" si="13"/>
        <v>M42A28-MEP</v>
      </c>
      <c r="AE45" s="11" t="str">
        <f t="shared" si="13"/>
        <v>M42G29</v>
      </c>
      <c r="AF45" s="11" t="str">
        <f t="shared" si="13"/>
        <v>M42F30</v>
      </c>
      <c r="AG45" s="11" t="str">
        <f t="shared" si="13"/>
        <v>M42R31-MEP</v>
      </c>
      <c r="AH45" s="11" t="str">
        <f t="shared" si="13"/>
        <v>M42M32-B</v>
      </c>
      <c r="AI45" s="11" t="str">
        <f t="shared" si="14"/>
        <v>M42I33-B</v>
      </c>
      <c r="AJ45" s="11" t="str">
        <f t="shared" si="14"/>
        <v>M42M34-B</v>
      </c>
      <c r="AK45" s="11" t="str">
        <f t="shared" si="14"/>
        <v>M42K35-B</v>
      </c>
      <c r="AL45" s="11" t="str">
        <f t="shared" si="14"/>
        <v>M42A36-B</v>
      </c>
      <c r="AM45" s="11" t="str">
        <f t="shared" si="14"/>
        <v>M42M37-B</v>
      </c>
      <c r="AN45" s="11" t="str">
        <f t="shared" si="14"/>
        <v>M42M38-MEP</v>
      </c>
      <c r="AO45" s="11" t="str">
        <f t="shared" si="14"/>
        <v/>
      </c>
      <c r="AP45" s="11" t="str">
        <f t="shared" si="14"/>
        <v>M42A40</v>
      </c>
      <c r="AQ45" s="11" t="str">
        <f t="shared" si="14"/>
        <v>M42H41</v>
      </c>
      <c r="AR45" s="11" t="str">
        <f t="shared" si="14"/>
        <v>M42M42</v>
      </c>
      <c r="AS45" s="11" t="str">
        <f t="shared" si="14"/>
        <v/>
      </c>
      <c r="AT45" s="11" t="str">
        <f t="shared" si="14"/>
        <v/>
      </c>
      <c r="AU45" s="11" t="str">
        <f t="shared" si="14"/>
        <v/>
      </c>
      <c r="AV45" s="11" t="str">
        <f t="shared" si="14"/>
        <v/>
      </c>
    </row>
    <row r="46" spans="1:48" x14ac:dyDescent="0.25">
      <c r="A46" s="13"/>
      <c r="B46" s="8"/>
      <c r="C46" s="11" t="str">
        <f t="shared" si="16"/>
        <v/>
      </c>
      <c r="D46" s="11" t="str">
        <f t="shared" si="16"/>
        <v/>
      </c>
      <c r="E46" s="11" t="str">
        <f t="shared" si="16"/>
        <v/>
      </c>
      <c r="F46" s="11" t="str">
        <f t="shared" si="16"/>
        <v/>
      </c>
      <c r="G46" s="11" t="str">
        <f t="shared" si="16"/>
        <v/>
      </c>
      <c r="H46" s="11" t="str">
        <f t="shared" si="16"/>
        <v/>
      </c>
      <c r="I46" s="11" t="str">
        <f t="shared" si="16"/>
        <v/>
      </c>
      <c r="J46" s="11" t="str">
        <f t="shared" si="16"/>
        <v/>
      </c>
      <c r="K46" s="11" t="str">
        <f t="shared" si="16"/>
        <v/>
      </c>
      <c r="L46" s="11" t="str">
        <f t="shared" si="16"/>
        <v/>
      </c>
      <c r="M46" s="11" t="str">
        <f t="shared" si="16"/>
        <v/>
      </c>
      <c r="N46" s="11" t="str">
        <f t="shared" si="16"/>
        <v/>
      </c>
      <c r="O46" s="11" t="str">
        <f t="shared" si="16"/>
        <v/>
      </c>
      <c r="P46" s="11" t="str">
        <f t="shared" si="16"/>
        <v/>
      </c>
      <c r="Q46" s="11" t="str">
        <f t="shared" si="16"/>
        <v/>
      </c>
      <c r="R46" s="11" t="str">
        <f t="shared" si="15"/>
        <v/>
      </c>
      <c r="S46" s="11" t="str">
        <f t="shared" si="13"/>
        <v/>
      </c>
      <c r="T46" s="11" t="str">
        <f t="shared" si="13"/>
        <v/>
      </c>
      <c r="U46" s="11" t="str">
        <f t="shared" si="13"/>
        <v/>
      </c>
      <c r="V46" s="11" t="str">
        <f t="shared" si="13"/>
        <v/>
      </c>
      <c r="W46" s="11" t="str">
        <f t="shared" si="13"/>
        <v/>
      </c>
      <c r="X46" s="11" t="str">
        <f t="shared" si="13"/>
        <v/>
      </c>
      <c r="Y46" s="11" t="str">
        <f t="shared" si="13"/>
        <v/>
      </c>
      <c r="Z46" s="11" t="str">
        <f t="shared" si="13"/>
        <v/>
      </c>
      <c r="AA46" s="11" t="str">
        <f t="shared" si="13"/>
        <v/>
      </c>
      <c r="AB46" s="11" t="str">
        <f t="shared" si="13"/>
        <v/>
      </c>
      <c r="AC46" s="11" t="str">
        <f t="shared" si="13"/>
        <v/>
      </c>
      <c r="AD46" s="11" t="str">
        <f t="shared" si="13"/>
        <v/>
      </c>
      <c r="AE46" s="11" t="str">
        <f t="shared" si="13"/>
        <v/>
      </c>
      <c r="AF46" s="11" t="str">
        <f t="shared" si="13"/>
        <v/>
      </c>
      <c r="AG46" s="11" t="str">
        <f t="shared" si="13"/>
        <v/>
      </c>
      <c r="AH46" s="11" t="str">
        <f t="shared" si="13"/>
        <v/>
      </c>
      <c r="AI46" s="11" t="str">
        <f t="shared" si="14"/>
        <v/>
      </c>
      <c r="AJ46" s="11" t="str">
        <f t="shared" si="14"/>
        <v/>
      </c>
      <c r="AK46" s="11" t="str">
        <f t="shared" si="14"/>
        <v/>
      </c>
      <c r="AL46" s="11" t="str">
        <f t="shared" si="14"/>
        <v/>
      </c>
      <c r="AM46" s="11" t="str">
        <f t="shared" si="14"/>
        <v/>
      </c>
      <c r="AN46" s="11" t="str">
        <f t="shared" si="14"/>
        <v/>
      </c>
      <c r="AO46" s="11" t="str">
        <f t="shared" si="14"/>
        <v/>
      </c>
      <c r="AP46" s="11" t="str">
        <f t="shared" si="14"/>
        <v/>
      </c>
      <c r="AQ46" s="11" t="str">
        <f t="shared" si="14"/>
        <v/>
      </c>
      <c r="AR46" s="11" t="str">
        <f t="shared" si="14"/>
        <v/>
      </c>
      <c r="AS46" s="11" t="str">
        <f t="shared" si="14"/>
        <v/>
      </c>
      <c r="AT46" s="11" t="str">
        <f t="shared" si="14"/>
        <v/>
      </c>
      <c r="AU46" s="11" t="str">
        <f t="shared" si="14"/>
        <v/>
      </c>
      <c r="AV46" s="11" t="str">
        <f t="shared" si="14"/>
        <v/>
      </c>
    </row>
    <row r="47" spans="1:48" x14ac:dyDescent="0.25">
      <c r="A47" s="13"/>
      <c r="B47" s="8"/>
      <c r="C47" s="11" t="str">
        <f t="shared" si="16"/>
        <v/>
      </c>
      <c r="D47" s="11" t="str">
        <f t="shared" si="16"/>
        <v/>
      </c>
      <c r="E47" s="11" t="str">
        <f t="shared" si="16"/>
        <v/>
      </c>
      <c r="F47" s="11" t="str">
        <f t="shared" si="16"/>
        <v/>
      </c>
      <c r="G47" s="11" t="str">
        <f t="shared" si="16"/>
        <v/>
      </c>
      <c r="H47" s="11" t="str">
        <f t="shared" si="16"/>
        <v/>
      </c>
      <c r="I47" s="11" t="str">
        <f t="shared" si="16"/>
        <v/>
      </c>
      <c r="J47" s="11" t="str">
        <f t="shared" si="16"/>
        <v/>
      </c>
      <c r="K47" s="11" t="str">
        <f t="shared" si="16"/>
        <v/>
      </c>
      <c r="L47" s="11" t="str">
        <f t="shared" si="16"/>
        <v/>
      </c>
      <c r="M47" s="11" t="str">
        <f t="shared" si="16"/>
        <v/>
      </c>
      <c r="N47" s="11" t="str">
        <f t="shared" si="16"/>
        <v/>
      </c>
      <c r="O47" s="11" t="str">
        <f t="shared" si="16"/>
        <v/>
      </c>
      <c r="P47" s="11" t="str">
        <f t="shared" si="16"/>
        <v/>
      </c>
      <c r="Q47" s="11" t="str">
        <f t="shared" si="16"/>
        <v/>
      </c>
      <c r="R47" s="11" t="str">
        <f t="shared" si="15"/>
        <v/>
      </c>
      <c r="S47" s="11" t="str">
        <f t="shared" si="13"/>
        <v/>
      </c>
      <c r="T47" s="11" t="str">
        <f t="shared" si="13"/>
        <v/>
      </c>
      <c r="U47" s="11" t="str">
        <f t="shared" si="13"/>
        <v/>
      </c>
      <c r="V47" s="11" t="str">
        <f t="shared" si="13"/>
        <v/>
      </c>
      <c r="W47" s="11" t="str">
        <f t="shared" si="13"/>
        <v/>
      </c>
      <c r="X47" s="11" t="str">
        <f t="shared" si="13"/>
        <v/>
      </c>
      <c r="Y47" s="11" t="str">
        <f t="shared" si="13"/>
        <v/>
      </c>
      <c r="Z47" s="11" t="str">
        <f t="shared" si="13"/>
        <v/>
      </c>
      <c r="AA47" s="11" t="str">
        <f t="shared" si="13"/>
        <v/>
      </c>
      <c r="AB47" s="11" t="str">
        <f t="shared" si="13"/>
        <v/>
      </c>
      <c r="AC47" s="11" t="str">
        <f t="shared" si="13"/>
        <v/>
      </c>
      <c r="AD47" s="11" t="str">
        <f t="shared" si="13"/>
        <v/>
      </c>
      <c r="AE47" s="11" t="str">
        <f t="shared" si="13"/>
        <v/>
      </c>
      <c r="AF47" s="11" t="str">
        <f t="shared" si="13"/>
        <v/>
      </c>
      <c r="AG47" s="11" t="str">
        <f t="shared" si="13"/>
        <v/>
      </c>
      <c r="AH47" s="11" t="str">
        <f t="shared" si="13"/>
        <v/>
      </c>
      <c r="AI47" s="11" t="str">
        <f t="shared" si="14"/>
        <v/>
      </c>
      <c r="AJ47" s="11" t="str">
        <f t="shared" si="14"/>
        <v/>
      </c>
      <c r="AK47" s="11" t="str">
        <f t="shared" si="14"/>
        <v/>
      </c>
      <c r="AL47" s="11" t="str">
        <f t="shared" si="14"/>
        <v/>
      </c>
      <c r="AM47" s="11" t="str">
        <f t="shared" si="14"/>
        <v/>
      </c>
      <c r="AN47" s="11" t="str">
        <f t="shared" si="14"/>
        <v/>
      </c>
      <c r="AO47" s="11" t="str">
        <f t="shared" si="14"/>
        <v/>
      </c>
      <c r="AP47" s="11" t="str">
        <f t="shared" si="14"/>
        <v/>
      </c>
      <c r="AQ47" s="11" t="str">
        <f t="shared" si="14"/>
        <v/>
      </c>
      <c r="AR47" s="11" t="str">
        <f t="shared" si="14"/>
        <v/>
      </c>
      <c r="AS47" s="11" t="str">
        <f t="shared" si="14"/>
        <v/>
      </c>
      <c r="AT47" s="11" t="str">
        <f t="shared" si="14"/>
        <v/>
      </c>
      <c r="AU47" s="11" t="str">
        <f t="shared" si="14"/>
        <v/>
      </c>
      <c r="AV47" s="11" t="str">
        <f t="shared" si="14"/>
        <v/>
      </c>
    </row>
    <row r="48" spans="1:48" x14ac:dyDescent="0.25">
      <c r="A48" s="13"/>
      <c r="B48" s="8"/>
      <c r="C48" s="11" t="str">
        <f t="shared" si="16"/>
        <v/>
      </c>
      <c r="D48" s="11" t="str">
        <f t="shared" si="16"/>
        <v/>
      </c>
      <c r="E48" s="11" t="str">
        <f t="shared" si="16"/>
        <v/>
      </c>
      <c r="F48" s="11" t="str">
        <f t="shared" si="16"/>
        <v/>
      </c>
      <c r="G48" s="11" t="str">
        <f t="shared" si="16"/>
        <v/>
      </c>
      <c r="H48" s="11" t="str">
        <f t="shared" si="16"/>
        <v/>
      </c>
      <c r="I48" s="11" t="str">
        <f t="shared" si="16"/>
        <v/>
      </c>
      <c r="J48" s="11" t="str">
        <f t="shared" si="16"/>
        <v/>
      </c>
      <c r="K48" s="11" t="str">
        <f t="shared" si="16"/>
        <v/>
      </c>
      <c r="L48" s="11" t="str">
        <f t="shared" si="16"/>
        <v/>
      </c>
      <c r="M48" s="11" t="str">
        <f t="shared" si="16"/>
        <v/>
      </c>
      <c r="N48" s="11" t="str">
        <f t="shared" si="16"/>
        <v/>
      </c>
      <c r="O48" s="11" t="str">
        <f t="shared" si="16"/>
        <v/>
      </c>
      <c r="P48" s="11" t="str">
        <f t="shared" si="16"/>
        <v/>
      </c>
      <c r="Q48" s="11" t="str">
        <f t="shared" si="16"/>
        <v/>
      </c>
      <c r="R48" s="11" t="str">
        <f t="shared" si="15"/>
        <v/>
      </c>
      <c r="S48" s="11" t="str">
        <f t="shared" si="13"/>
        <v/>
      </c>
      <c r="T48" s="11" t="str">
        <f t="shared" si="13"/>
        <v/>
      </c>
      <c r="U48" s="11" t="str">
        <f t="shared" si="13"/>
        <v/>
      </c>
      <c r="V48" s="11" t="str">
        <f t="shared" si="13"/>
        <v/>
      </c>
      <c r="W48" s="11" t="str">
        <f t="shared" si="13"/>
        <v/>
      </c>
      <c r="X48" s="11" t="str">
        <f t="shared" si="13"/>
        <v/>
      </c>
      <c r="Y48" s="11" t="str">
        <f t="shared" si="13"/>
        <v/>
      </c>
      <c r="Z48" s="11" t="str">
        <f t="shared" si="13"/>
        <v/>
      </c>
      <c r="AA48" s="11" t="str">
        <f t="shared" si="13"/>
        <v/>
      </c>
      <c r="AB48" s="11" t="str">
        <f t="shared" si="13"/>
        <v/>
      </c>
      <c r="AC48" s="11" t="str">
        <f t="shared" si="13"/>
        <v/>
      </c>
      <c r="AD48" s="11" t="str">
        <f t="shared" si="13"/>
        <v/>
      </c>
      <c r="AE48" s="11" t="str">
        <f t="shared" si="13"/>
        <v/>
      </c>
      <c r="AF48" s="11" t="str">
        <f t="shared" si="13"/>
        <v/>
      </c>
      <c r="AG48" s="11" t="str">
        <f t="shared" si="13"/>
        <v/>
      </c>
      <c r="AH48" s="11" t="str">
        <f t="shared" si="13"/>
        <v/>
      </c>
      <c r="AI48" s="11" t="str">
        <f t="shared" si="14"/>
        <v/>
      </c>
      <c r="AJ48" s="11" t="str">
        <f t="shared" si="14"/>
        <v/>
      </c>
      <c r="AK48" s="11" t="str">
        <f t="shared" si="14"/>
        <v/>
      </c>
      <c r="AL48" s="11" t="str">
        <f t="shared" si="14"/>
        <v/>
      </c>
      <c r="AM48" s="11" t="str">
        <f t="shared" si="14"/>
        <v/>
      </c>
      <c r="AN48" s="11" t="str">
        <f t="shared" si="14"/>
        <v/>
      </c>
      <c r="AO48" s="11" t="str">
        <f t="shared" si="14"/>
        <v/>
      </c>
      <c r="AP48" s="11" t="str">
        <f t="shared" si="14"/>
        <v/>
      </c>
      <c r="AQ48" s="11" t="str">
        <f t="shared" si="14"/>
        <v/>
      </c>
      <c r="AR48" s="11" t="str">
        <f t="shared" si="14"/>
        <v/>
      </c>
      <c r="AS48" s="11" t="str">
        <f t="shared" si="14"/>
        <v/>
      </c>
      <c r="AT48" s="11" t="str">
        <f t="shared" si="14"/>
        <v/>
      </c>
      <c r="AU48" s="11" t="str">
        <f t="shared" si="14"/>
        <v/>
      </c>
      <c r="AV48" s="11" t="str">
        <f t="shared" si="14"/>
        <v/>
      </c>
    </row>
    <row r="49" spans="1:48" x14ac:dyDescent="0.25">
      <c r="A49" s="13"/>
      <c r="B49" s="8"/>
      <c r="C49" s="11" t="str">
        <f t="shared" si="16"/>
        <v/>
      </c>
      <c r="D49" s="11" t="str">
        <f t="shared" si="16"/>
        <v/>
      </c>
      <c r="E49" s="11" t="str">
        <f t="shared" si="16"/>
        <v/>
      </c>
      <c r="F49" s="11" t="str">
        <f t="shared" si="16"/>
        <v/>
      </c>
      <c r="G49" s="11" t="str">
        <f t="shared" si="16"/>
        <v/>
      </c>
      <c r="H49" s="11" t="str">
        <f t="shared" si="16"/>
        <v/>
      </c>
      <c r="I49" s="11" t="str">
        <f t="shared" si="16"/>
        <v/>
      </c>
      <c r="J49" s="11" t="str">
        <f t="shared" si="16"/>
        <v/>
      </c>
      <c r="K49" s="11" t="str">
        <f t="shared" si="16"/>
        <v/>
      </c>
      <c r="L49" s="11" t="str">
        <f t="shared" si="16"/>
        <v/>
      </c>
      <c r="M49" s="11" t="str">
        <f t="shared" si="16"/>
        <v/>
      </c>
      <c r="N49" s="11" t="str">
        <f t="shared" si="16"/>
        <v/>
      </c>
      <c r="O49" s="11" t="str">
        <f t="shared" si="16"/>
        <v/>
      </c>
      <c r="P49" s="11" t="str">
        <f t="shared" si="16"/>
        <v/>
      </c>
      <c r="Q49" s="11" t="str">
        <f t="shared" si="16"/>
        <v/>
      </c>
      <c r="R49" s="11" t="str">
        <f t="shared" si="15"/>
        <v/>
      </c>
      <c r="S49" s="11" t="str">
        <f t="shared" si="13"/>
        <v/>
      </c>
      <c r="T49" s="11" t="str">
        <f t="shared" si="13"/>
        <v/>
      </c>
      <c r="U49" s="11" t="str">
        <f t="shared" si="13"/>
        <v/>
      </c>
      <c r="V49" s="11" t="str">
        <f t="shared" si="13"/>
        <v/>
      </c>
      <c r="W49" s="11" t="str">
        <f t="shared" si="13"/>
        <v/>
      </c>
      <c r="X49" s="11" t="str">
        <f t="shared" si="13"/>
        <v/>
      </c>
      <c r="Y49" s="11" t="str">
        <f t="shared" si="13"/>
        <v/>
      </c>
      <c r="Z49" s="11" t="str">
        <f t="shared" si="13"/>
        <v/>
      </c>
      <c r="AA49" s="11" t="str">
        <f t="shared" si="13"/>
        <v/>
      </c>
      <c r="AB49" s="11" t="str">
        <f t="shared" si="13"/>
        <v/>
      </c>
      <c r="AC49" s="11" t="str">
        <f t="shared" si="13"/>
        <v/>
      </c>
      <c r="AD49" s="11" t="str">
        <f t="shared" si="13"/>
        <v/>
      </c>
      <c r="AE49" s="11" t="str">
        <f t="shared" si="13"/>
        <v/>
      </c>
      <c r="AF49" s="11" t="str">
        <f t="shared" si="13"/>
        <v/>
      </c>
      <c r="AG49" s="11" t="str">
        <f t="shared" si="13"/>
        <v/>
      </c>
      <c r="AH49" s="11" t="str">
        <f t="shared" si="13"/>
        <v/>
      </c>
      <c r="AI49" s="11" t="str">
        <f t="shared" si="14"/>
        <v/>
      </c>
      <c r="AJ49" s="11" t="str">
        <f t="shared" si="14"/>
        <v/>
      </c>
      <c r="AK49" s="11" t="str">
        <f t="shared" si="14"/>
        <v/>
      </c>
      <c r="AL49" s="11" t="str">
        <f t="shared" si="14"/>
        <v/>
      </c>
      <c r="AM49" s="11" t="str">
        <f t="shared" si="14"/>
        <v/>
      </c>
      <c r="AN49" s="11" t="str">
        <f t="shared" si="14"/>
        <v/>
      </c>
      <c r="AO49" s="11" t="str">
        <f t="shared" si="14"/>
        <v/>
      </c>
      <c r="AP49" s="11" t="str">
        <f t="shared" si="14"/>
        <v/>
      </c>
      <c r="AQ49" s="11" t="str">
        <f t="shared" si="14"/>
        <v/>
      </c>
      <c r="AR49" s="11" t="str">
        <f t="shared" si="14"/>
        <v/>
      </c>
      <c r="AS49" s="11" t="str">
        <f t="shared" si="14"/>
        <v/>
      </c>
      <c r="AT49" s="11" t="str">
        <f t="shared" si="14"/>
        <v/>
      </c>
      <c r="AU49" s="11" t="str">
        <f t="shared" si="14"/>
        <v/>
      </c>
      <c r="AV49" s="11" t="str">
        <f t="shared" si="14"/>
        <v/>
      </c>
    </row>
    <row r="50" spans="1:48" x14ac:dyDescent="0.25">
      <c r="A50" s="13"/>
      <c r="B50" s="8"/>
      <c r="C50" s="11" t="str">
        <f t="shared" si="16"/>
        <v/>
      </c>
      <c r="D50" s="11" t="str">
        <f t="shared" si="16"/>
        <v/>
      </c>
      <c r="E50" s="11" t="str">
        <f t="shared" si="16"/>
        <v/>
      </c>
      <c r="F50" s="11" t="str">
        <f t="shared" si="16"/>
        <v/>
      </c>
      <c r="G50" s="11" t="str">
        <f t="shared" si="16"/>
        <v/>
      </c>
      <c r="H50" s="11" t="str">
        <f t="shared" si="16"/>
        <v/>
      </c>
      <c r="I50" s="11" t="str">
        <f t="shared" si="16"/>
        <v/>
      </c>
      <c r="J50" s="11" t="str">
        <f t="shared" si="16"/>
        <v/>
      </c>
      <c r="K50" s="11" t="str">
        <f t="shared" si="16"/>
        <v/>
      </c>
      <c r="L50" s="11" t="str">
        <f t="shared" si="16"/>
        <v/>
      </c>
      <c r="M50" s="11" t="str">
        <f t="shared" si="16"/>
        <v/>
      </c>
      <c r="N50" s="11" t="str">
        <f t="shared" si="16"/>
        <v/>
      </c>
      <c r="O50" s="11" t="str">
        <f t="shared" si="16"/>
        <v/>
      </c>
      <c r="P50" s="11" t="str">
        <f t="shared" si="16"/>
        <v/>
      </c>
      <c r="Q50" s="11" t="str">
        <f t="shared" si="16"/>
        <v/>
      </c>
      <c r="R50" s="11" t="str">
        <f t="shared" si="15"/>
        <v/>
      </c>
      <c r="S50" s="11" t="str">
        <f t="shared" si="13"/>
        <v/>
      </c>
      <c r="T50" s="11" t="str">
        <f t="shared" si="13"/>
        <v/>
      </c>
      <c r="U50" s="11" t="str">
        <f t="shared" si="13"/>
        <v/>
      </c>
      <c r="V50" s="11" t="str">
        <f t="shared" si="13"/>
        <v/>
      </c>
      <c r="W50" s="11" t="str">
        <f t="shared" si="13"/>
        <v/>
      </c>
      <c r="X50" s="11" t="str">
        <f t="shared" si="13"/>
        <v/>
      </c>
      <c r="Y50" s="11" t="str">
        <f t="shared" si="13"/>
        <v/>
      </c>
      <c r="Z50" s="11" t="str">
        <f t="shared" si="13"/>
        <v/>
      </c>
      <c r="AA50" s="11" t="str">
        <f t="shared" si="13"/>
        <v/>
      </c>
      <c r="AB50" s="11" t="str">
        <f t="shared" si="13"/>
        <v/>
      </c>
      <c r="AC50" s="11" t="str">
        <f t="shared" si="13"/>
        <v/>
      </c>
      <c r="AD50" s="11" t="str">
        <f t="shared" si="13"/>
        <v/>
      </c>
      <c r="AE50" s="11" t="str">
        <f t="shared" si="13"/>
        <v/>
      </c>
      <c r="AF50" s="11" t="str">
        <f t="shared" si="13"/>
        <v/>
      </c>
      <c r="AG50" s="11" t="str">
        <f t="shared" si="13"/>
        <v/>
      </c>
      <c r="AH50" s="11" t="str">
        <f t="shared" ref="AH50:AV52" si="17">IF(OR($B50=0,AH$3=0),"",_xlfn.CONCAT($B50,VLOOKUP(AH$2,$A$4:$B$70,2,0)))</f>
        <v/>
      </c>
      <c r="AI50" s="11" t="str">
        <f t="shared" si="14"/>
        <v/>
      </c>
      <c r="AJ50" s="11" t="str">
        <f t="shared" si="14"/>
        <v/>
      </c>
      <c r="AK50" s="11" t="str">
        <f t="shared" si="14"/>
        <v/>
      </c>
      <c r="AL50" s="11" t="str">
        <f t="shared" si="14"/>
        <v/>
      </c>
      <c r="AM50" s="11" t="str">
        <f t="shared" si="14"/>
        <v/>
      </c>
      <c r="AN50" s="11" t="str">
        <f t="shared" si="14"/>
        <v/>
      </c>
      <c r="AO50" s="11" t="str">
        <f t="shared" si="14"/>
        <v/>
      </c>
      <c r="AP50" s="11" t="str">
        <f t="shared" si="14"/>
        <v/>
      </c>
      <c r="AQ50" s="11" t="str">
        <f t="shared" si="14"/>
        <v/>
      </c>
      <c r="AR50" s="11" t="str">
        <f t="shared" si="14"/>
        <v/>
      </c>
      <c r="AS50" s="11" t="str">
        <f t="shared" si="14"/>
        <v/>
      </c>
      <c r="AT50" s="11" t="str">
        <f t="shared" si="14"/>
        <v/>
      </c>
      <c r="AU50" s="11" t="str">
        <f t="shared" si="14"/>
        <v/>
      </c>
      <c r="AV50" s="11" t="str">
        <f t="shared" si="14"/>
        <v/>
      </c>
    </row>
    <row r="51" spans="1:48" x14ac:dyDescent="0.25">
      <c r="A51" s="13"/>
      <c r="B51" s="8"/>
      <c r="C51" s="11" t="str">
        <f t="shared" si="16"/>
        <v/>
      </c>
      <c r="D51" s="11" t="str">
        <f t="shared" si="16"/>
        <v/>
      </c>
      <c r="E51" s="11" t="str">
        <f t="shared" si="16"/>
        <v/>
      </c>
      <c r="F51" s="11" t="str">
        <f t="shared" si="16"/>
        <v/>
      </c>
      <c r="G51" s="11" t="str">
        <f t="shared" si="16"/>
        <v/>
      </c>
      <c r="H51" s="11" t="str">
        <f t="shared" si="16"/>
        <v/>
      </c>
      <c r="I51" s="11" t="str">
        <f t="shared" si="16"/>
        <v/>
      </c>
      <c r="J51" s="11" t="str">
        <f t="shared" si="16"/>
        <v/>
      </c>
      <c r="K51" s="11" t="str">
        <f t="shared" si="16"/>
        <v/>
      </c>
      <c r="L51" s="11" t="str">
        <f t="shared" si="16"/>
        <v/>
      </c>
      <c r="M51" s="11" t="str">
        <f t="shared" si="16"/>
        <v/>
      </c>
      <c r="N51" s="11" t="str">
        <f t="shared" si="16"/>
        <v/>
      </c>
      <c r="O51" s="11" t="str">
        <f t="shared" si="16"/>
        <v/>
      </c>
      <c r="P51" s="11" t="str">
        <f t="shared" si="16"/>
        <v/>
      </c>
      <c r="Q51" s="11" t="str">
        <f t="shared" si="16"/>
        <v/>
      </c>
      <c r="R51" s="11" t="str">
        <f t="shared" si="15"/>
        <v/>
      </c>
      <c r="S51" s="11" t="str">
        <f t="shared" si="15"/>
        <v/>
      </c>
      <c r="T51" s="11" t="str">
        <f t="shared" si="15"/>
        <v/>
      </c>
      <c r="U51" s="11" t="str">
        <f t="shared" si="15"/>
        <v/>
      </c>
      <c r="V51" s="11" t="str">
        <f t="shared" si="15"/>
        <v/>
      </c>
      <c r="W51" s="11" t="str">
        <f t="shared" si="15"/>
        <v/>
      </c>
      <c r="X51" s="11" t="str">
        <f t="shared" si="15"/>
        <v/>
      </c>
      <c r="Y51" s="11" t="str">
        <f t="shared" si="15"/>
        <v/>
      </c>
      <c r="Z51" s="11" t="str">
        <f t="shared" si="15"/>
        <v/>
      </c>
      <c r="AA51" s="11" t="str">
        <f t="shared" si="15"/>
        <v/>
      </c>
      <c r="AB51" s="11" t="str">
        <f t="shared" si="15"/>
        <v/>
      </c>
      <c r="AC51" s="11" t="str">
        <f t="shared" si="15"/>
        <v/>
      </c>
      <c r="AD51" s="11" t="str">
        <f t="shared" si="15"/>
        <v/>
      </c>
      <c r="AE51" s="11" t="str">
        <f t="shared" si="15"/>
        <v/>
      </c>
      <c r="AF51" s="11" t="str">
        <f t="shared" si="15"/>
        <v/>
      </c>
      <c r="AG51" s="11" t="str">
        <f t="shared" si="15"/>
        <v/>
      </c>
      <c r="AH51" s="11" t="str">
        <f t="shared" si="17"/>
        <v/>
      </c>
      <c r="AI51" s="11" t="str">
        <f t="shared" si="17"/>
        <v/>
      </c>
      <c r="AJ51" s="11" t="str">
        <f t="shared" si="17"/>
        <v/>
      </c>
      <c r="AK51" s="11" t="str">
        <f t="shared" si="17"/>
        <v/>
      </c>
      <c r="AL51" s="11" t="str">
        <f t="shared" si="17"/>
        <v/>
      </c>
      <c r="AM51" s="11" t="str">
        <f t="shared" si="17"/>
        <v/>
      </c>
      <c r="AN51" s="11" t="str">
        <f t="shared" si="17"/>
        <v/>
      </c>
      <c r="AO51" s="11" t="str">
        <f t="shared" si="17"/>
        <v/>
      </c>
      <c r="AP51" s="11" t="str">
        <f t="shared" si="17"/>
        <v/>
      </c>
      <c r="AQ51" s="11" t="str">
        <f t="shared" si="17"/>
        <v/>
      </c>
      <c r="AR51" s="11" t="str">
        <f t="shared" si="17"/>
        <v/>
      </c>
      <c r="AS51" s="11" t="str">
        <f t="shared" si="17"/>
        <v/>
      </c>
      <c r="AT51" s="11" t="str">
        <f t="shared" si="17"/>
        <v/>
      </c>
      <c r="AU51" s="11" t="str">
        <f t="shared" si="17"/>
        <v/>
      </c>
      <c r="AV51" s="11" t="str">
        <f t="shared" si="17"/>
        <v/>
      </c>
    </row>
    <row r="52" spans="1:48" x14ac:dyDescent="0.25">
      <c r="A52" s="13"/>
      <c r="B52" s="8"/>
      <c r="C52" s="11" t="str">
        <f t="shared" si="16"/>
        <v/>
      </c>
      <c r="D52" s="11" t="str">
        <f t="shared" si="16"/>
        <v/>
      </c>
      <c r="E52" s="11" t="str">
        <f t="shared" si="16"/>
        <v/>
      </c>
      <c r="F52" s="11" t="str">
        <f t="shared" si="16"/>
        <v/>
      </c>
      <c r="G52" s="11" t="str">
        <f t="shared" si="16"/>
        <v/>
      </c>
      <c r="H52" s="11" t="str">
        <f t="shared" si="16"/>
        <v/>
      </c>
      <c r="I52" s="11" t="str">
        <f t="shared" si="16"/>
        <v/>
      </c>
      <c r="J52" s="11" t="str">
        <f t="shared" si="16"/>
        <v/>
      </c>
      <c r="K52" s="11" t="str">
        <f t="shared" si="16"/>
        <v/>
      </c>
      <c r="L52" s="11" t="str">
        <f t="shared" si="16"/>
        <v/>
      </c>
      <c r="M52" s="11" t="str">
        <f t="shared" si="16"/>
        <v/>
      </c>
      <c r="N52" s="11" t="str">
        <f t="shared" si="16"/>
        <v/>
      </c>
      <c r="O52" s="11" t="str">
        <f t="shared" si="16"/>
        <v/>
      </c>
      <c r="P52" s="11" t="str">
        <f t="shared" si="16"/>
        <v/>
      </c>
      <c r="Q52" s="11" t="str">
        <f t="shared" si="16"/>
        <v/>
      </c>
      <c r="R52" s="11" t="str">
        <f t="shared" si="16"/>
        <v/>
      </c>
      <c r="S52" s="11" t="str">
        <f t="shared" ref="S52:AG52" si="18">IF(OR($B52=0,S$3=0),"",_xlfn.CONCAT($B52,VLOOKUP(S$2,$A$4:$B$70,2,0)))</f>
        <v/>
      </c>
      <c r="T52" s="11" t="str">
        <f t="shared" si="18"/>
        <v/>
      </c>
      <c r="U52" s="11" t="str">
        <f t="shared" si="18"/>
        <v/>
      </c>
      <c r="V52" s="11" t="str">
        <f t="shared" si="18"/>
        <v/>
      </c>
      <c r="W52" s="11" t="str">
        <f t="shared" si="18"/>
        <v/>
      </c>
      <c r="X52" s="11" t="str">
        <f t="shared" si="18"/>
        <v/>
      </c>
      <c r="Y52" s="11" t="str">
        <f t="shared" si="18"/>
        <v/>
      </c>
      <c r="Z52" s="11" t="str">
        <f t="shared" si="18"/>
        <v/>
      </c>
      <c r="AA52" s="11" t="str">
        <f t="shared" si="18"/>
        <v/>
      </c>
      <c r="AB52" s="11" t="str">
        <f t="shared" si="18"/>
        <v/>
      </c>
      <c r="AC52" s="11" t="str">
        <f t="shared" si="18"/>
        <v/>
      </c>
      <c r="AD52" s="11" t="str">
        <f t="shared" si="18"/>
        <v/>
      </c>
      <c r="AE52" s="11" t="str">
        <f t="shared" si="18"/>
        <v/>
      </c>
      <c r="AF52" s="11" t="str">
        <f t="shared" si="18"/>
        <v/>
      </c>
      <c r="AG52" s="11" t="str">
        <f t="shared" si="18"/>
        <v/>
      </c>
      <c r="AH52" s="11" t="str">
        <f t="shared" si="17"/>
        <v/>
      </c>
      <c r="AI52" s="11" t="str">
        <f t="shared" si="17"/>
        <v/>
      </c>
      <c r="AJ52" s="11" t="str">
        <f t="shared" si="17"/>
        <v/>
      </c>
      <c r="AK52" s="11" t="str">
        <f t="shared" si="17"/>
        <v/>
      </c>
      <c r="AL52" s="11" t="str">
        <f t="shared" si="17"/>
        <v/>
      </c>
      <c r="AM52" s="11" t="str">
        <f t="shared" si="17"/>
        <v/>
      </c>
      <c r="AN52" s="11" t="str">
        <f t="shared" si="17"/>
        <v/>
      </c>
      <c r="AO52" s="11" t="str">
        <f t="shared" si="17"/>
        <v/>
      </c>
      <c r="AP52" s="11" t="str">
        <f t="shared" si="17"/>
        <v/>
      </c>
      <c r="AQ52" s="11" t="str">
        <f t="shared" si="17"/>
        <v/>
      </c>
      <c r="AR52" s="11" t="str">
        <f t="shared" si="17"/>
        <v/>
      </c>
      <c r="AS52" s="11" t="str">
        <f t="shared" si="17"/>
        <v/>
      </c>
      <c r="AT52" s="11" t="str">
        <f t="shared" si="17"/>
        <v/>
      </c>
      <c r="AU52" s="11" t="str">
        <f t="shared" si="17"/>
        <v/>
      </c>
      <c r="AV52" s="11" t="str">
        <f t="shared" si="17"/>
        <v/>
      </c>
    </row>
  </sheetData>
  <mergeCells count="1">
    <mergeCell ref="A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</vt:lpstr>
      <vt:lpstr>Links</vt:lpstr>
      <vt:lpstr>Main and Sub Contractor Matrix</vt:lpstr>
      <vt:lpstr>Links!Print_Area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Eng.Farouk Ahmed</dc:creator>
  <cp:keywords/>
  <dc:description/>
  <cp:lastModifiedBy>eng. mahmoud mansour</cp:lastModifiedBy>
  <cp:revision/>
  <dcterms:created xsi:type="dcterms:W3CDTF">2015-06-05T18:17:20Z</dcterms:created>
  <dcterms:modified xsi:type="dcterms:W3CDTF">2026-03-17T07:23:23Z</dcterms:modified>
  <cp:category/>
  <cp:contentStatus/>
</cp:coreProperties>
</file>